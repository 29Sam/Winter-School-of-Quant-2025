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<sst xmlns="http://schemas.openxmlformats.org/spreadsheetml/2006/main" count="362" uniqueCount="12">
  <si>
    <t>Date</t>
  </si>
  <si>
    <t>Close</t>
  </si>
  <si>
    <t>Daily_Return</t>
  </si>
  <si>
    <t>50_DMA</t>
  </si>
  <si>
    <t>Signal</t>
  </si>
  <si>
    <t>Strategy_Return</t>
  </si>
  <si>
    <t>Cum_Strategy</t>
  </si>
  <si>
    <t>Cum_BuyHold</t>
  </si>
  <si>
    <t>Peak</t>
  </si>
  <si>
    <t xml:space="preserve">Drawdown </t>
  </si>
  <si>
    <t>-</t>
  </si>
  <si>
    <t>Maximum Drawdown.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</si>
</sst>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dd-mmm-yyyy"/>
    <numFmt numFmtId="166" formatCode="d-mmmm-yyyy"/>
    <numFmt numFmtId="167" formatCode="dd-mmmm-yyyy"/>
  </numFmts>
  <fonts count="8">
    <font>
      <sz val="10.0"/>
      <color rgb="FF000000"/>
      <name val="Arial"/>
      <scheme val="minor"/>
    </font>
    <font>
      <b/>
      <sz val="8.0"/>
      <color rgb="FF000000"/>
      <name val="Georgia"/>
    </font>
    <font>
      <b/>
      <sz val="12.0"/>
      <color rgb="FF000000"/>
      <name val="Georgia"/>
    </font>
    <font>
      <b/>
      <sz val="12.0"/>
      <color theme="1"/>
      <name val="Georgia"/>
    </font>
    <font>
      <b/>
      <sz val="8.0"/>
      <color rgb="FF000000"/>
      <name val="&quot;Helvetica Neue&quot;"/>
    </font>
    <font>
      <b/>
      <color theme="1"/>
      <name val="Arial"/>
      <scheme val="minor"/>
    </font>
    <font>
      <color theme="1"/>
      <name val="Arial"/>
      <scheme val="minor"/>
    </font>
    <font>
      <sz val="8.0"/>
      <color rgb="FF000000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1" fillId="0" fontId="4" numFmtId="164" xfId="0" applyAlignment="1" applyBorder="1" applyFont="1" applyNumberFormat="1">
      <alignment horizontal="center" readingOrder="0" vertical="top"/>
    </xf>
    <xf borderId="1" fillId="0" fontId="4" numFmtId="0" xfId="0" applyAlignment="1" applyBorder="1" applyFont="1">
      <alignment horizontal="center" readingOrder="0" vertical="top"/>
    </xf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5" numFmtId="0" xfId="0" applyAlignment="1" applyFont="1">
      <alignment horizontal="center"/>
    </xf>
    <xf borderId="1" fillId="0" fontId="4" numFmtId="165" xfId="0" applyAlignment="1" applyBorder="1" applyFont="1" applyNumberFormat="1">
      <alignment horizontal="center" readingOrder="0" vertical="top"/>
    </xf>
    <xf borderId="1" fillId="0" fontId="4" numFmtId="166" xfId="0" applyAlignment="1" applyBorder="1" applyFont="1" applyNumberFormat="1">
      <alignment horizontal="center" readingOrder="0" vertical="top"/>
    </xf>
    <xf borderId="1" fillId="0" fontId="4" numFmtId="167" xfId="0" applyAlignment="1" applyBorder="1" applyFont="1" applyNumberFormat="1">
      <alignment horizontal="center" readingOrder="0" vertical="top"/>
    </xf>
    <xf borderId="1" fillId="0" fontId="7" numFmtId="165" xfId="0" applyAlignment="1" applyBorder="1" applyFont="1" applyNumberFormat="1">
      <alignment readingOrder="0" vertical="top"/>
    </xf>
    <xf borderId="1" fillId="0" fontId="7" numFmtId="0" xfId="0" applyAlignment="1" applyBorder="1" applyFont="1">
      <alignment readingOrder="0" vertical="top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4.25"/>
    <col customWidth="1" min="6" max="6" width="19.0"/>
    <col customWidth="1" min="7" max="7" width="18.5"/>
    <col customWidth="1" min="8" max="8" width="19.5"/>
    <col customWidth="1" min="10" max="10" width="2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>
      <c r="A2" s="4">
        <v>45657.0</v>
      </c>
      <c r="B2" s="5">
        <v>23644.8</v>
      </c>
      <c r="C2" s="6" t="s">
        <v>10</v>
      </c>
      <c r="D2" s="6" t="s">
        <v>10</v>
      </c>
      <c r="E2" s="6" t="s">
        <v>10</v>
      </c>
      <c r="F2" s="6" t="s">
        <v>10</v>
      </c>
      <c r="G2" s="6" t="s">
        <v>10</v>
      </c>
      <c r="H2" s="6" t="s">
        <v>10</v>
      </c>
      <c r="I2" s="6" t="s">
        <v>10</v>
      </c>
      <c r="J2" s="6" t="s">
        <v>10</v>
      </c>
      <c r="L2" s="7">
        <f>_xlfn.PERCENTILE.INC(F53:F300,0.01)
</f>
        <v>-0.0147090226</v>
      </c>
    </row>
    <row r="3">
      <c r="A3" s="4">
        <v>45656.0</v>
      </c>
      <c r="B3" s="5">
        <v>23644.9</v>
      </c>
      <c r="C3" s="8">
        <f t="shared" ref="C3:C249" si="1">ln(B3/B2)</f>
        <v>0.000004229250767</v>
      </c>
      <c r="D3" s="6" t="s">
        <v>10</v>
      </c>
      <c r="E3" s="6" t="s">
        <v>10</v>
      </c>
      <c r="F3" s="6" t="s">
        <v>10</v>
      </c>
      <c r="G3" s="6" t="s">
        <v>10</v>
      </c>
      <c r="H3" s="6" t="s">
        <v>10</v>
      </c>
      <c r="I3" s="6" t="s">
        <v>10</v>
      </c>
      <c r="J3" s="6" t="s">
        <v>10</v>
      </c>
      <c r="L3" s="7">
        <f>abs(L2)</f>
        <v>0.0147090226</v>
      </c>
    </row>
    <row r="4">
      <c r="A4" s="4">
        <v>45653.0</v>
      </c>
      <c r="B4" s="5">
        <v>23813.4</v>
      </c>
      <c r="C4" s="8">
        <f t="shared" si="1"/>
        <v>0.007101000585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 t="s">
        <v>10</v>
      </c>
      <c r="J4" s="6" t="s">
        <v>10</v>
      </c>
      <c r="L4" s="7">
        <f>AVERAGE(F53:F300)
</f>
        <v>-0.0002123877986</v>
      </c>
    </row>
    <row r="5">
      <c r="A5" s="4">
        <v>45652.0</v>
      </c>
      <c r="B5" s="5">
        <v>23750.2</v>
      </c>
      <c r="C5" s="8">
        <f t="shared" si="1"/>
        <v>-0.00265749595</v>
      </c>
      <c r="D5" s="6" t="s">
        <v>10</v>
      </c>
      <c r="E5" s="6" t="s">
        <v>10</v>
      </c>
      <c r="F5" s="6" t="s">
        <v>10</v>
      </c>
      <c r="G5" s="6" t="s">
        <v>10</v>
      </c>
      <c r="H5" s="6" t="s">
        <v>10</v>
      </c>
      <c r="I5" s="6" t="s">
        <v>10</v>
      </c>
      <c r="J5" s="6" t="s">
        <v>10</v>
      </c>
      <c r="L5" s="7">
        <f>_xlfn.STDEV.S(F53:F300)
</f>
        <v>0.0034119475</v>
      </c>
    </row>
    <row r="6">
      <c r="A6" s="4">
        <v>45650.0</v>
      </c>
      <c r="B6" s="5">
        <v>23727.65</v>
      </c>
      <c r="C6" s="8">
        <f t="shared" si="1"/>
        <v>-0.0009499167168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6" t="s">
        <v>10</v>
      </c>
      <c r="L6" s="7">
        <f>-(L4 + (-2.33*L5))
</f>
        <v>0.008162225474</v>
      </c>
    </row>
    <row r="7">
      <c r="A7" s="4">
        <v>45649.0</v>
      </c>
      <c r="B7" s="5">
        <v>23753.45</v>
      </c>
      <c r="C7" s="8">
        <f t="shared" si="1"/>
        <v>0.001086748308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6" t="s">
        <v>10</v>
      </c>
    </row>
    <row r="8">
      <c r="A8" s="4">
        <v>45646.0</v>
      </c>
      <c r="B8" s="5">
        <v>23587.5</v>
      </c>
      <c r="C8" s="8">
        <f t="shared" si="1"/>
        <v>-0.007010872394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6" t="s">
        <v>10</v>
      </c>
    </row>
    <row r="9">
      <c r="A9" s="4">
        <v>45645.0</v>
      </c>
      <c r="B9" s="5">
        <v>23951.7</v>
      </c>
      <c r="C9" s="8">
        <f t="shared" si="1"/>
        <v>0.01532239185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6" t="s">
        <v>10</v>
      </c>
    </row>
    <row r="10">
      <c r="A10" s="4">
        <v>45644.0</v>
      </c>
      <c r="B10" s="5">
        <v>24198.85</v>
      </c>
      <c r="C10" s="8">
        <f t="shared" si="1"/>
        <v>0.01026580882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6" t="s">
        <v>10</v>
      </c>
    </row>
    <row r="11">
      <c r="A11" s="4">
        <v>45643.0</v>
      </c>
      <c r="B11" s="5">
        <v>24336.0</v>
      </c>
      <c r="C11" s="8">
        <f t="shared" si="1"/>
        <v>0.005651624145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6" t="s">
        <v>10</v>
      </c>
    </row>
    <row r="12">
      <c r="A12" s="4">
        <v>45642.0</v>
      </c>
      <c r="B12" s="5">
        <v>24668.25</v>
      </c>
      <c r="C12" s="8">
        <f t="shared" si="1"/>
        <v>0.01356025615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6" t="s">
        <v>10</v>
      </c>
    </row>
    <row r="13">
      <c r="A13" s="4">
        <v>45639.0</v>
      </c>
      <c r="B13" s="5">
        <v>24768.3</v>
      </c>
      <c r="C13" s="8">
        <f t="shared" si="1"/>
        <v>0.004047618072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6" t="s">
        <v>10</v>
      </c>
    </row>
    <row r="14">
      <c r="A14" s="4">
        <v>45638.0</v>
      </c>
      <c r="B14" s="5">
        <v>24548.7</v>
      </c>
      <c r="C14" s="8">
        <f t="shared" si="1"/>
        <v>-0.008905710055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6" t="s">
        <v>10</v>
      </c>
    </row>
    <row r="15">
      <c r="A15" s="4">
        <v>45637.0</v>
      </c>
      <c r="B15" s="5">
        <v>24641.8</v>
      </c>
      <c r="C15" s="8">
        <f t="shared" si="1"/>
        <v>0.003785288264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10</v>
      </c>
      <c r="I15" s="6" t="s">
        <v>10</v>
      </c>
      <c r="J15" s="6" t="s">
        <v>10</v>
      </c>
    </row>
    <row r="16">
      <c r="A16" s="4">
        <v>45636.0</v>
      </c>
      <c r="B16" s="5">
        <v>24610.05</v>
      </c>
      <c r="C16" s="8">
        <f t="shared" si="1"/>
        <v>-0.00128929185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6" t="s">
        <v>10</v>
      </c>
    </row>
    <row r="17">
      <c r="A17" s="9">
        <v>45635.0</v>
      </c>
      <c r="B17" s="5">
        <v>24619.0</v>
      </c>
      <c r="C17" s="8">
        <f t="shared" si="1"/>
        <v>0.0003636064518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6" t="s">
        <v>10</v>
      </c>
    </row>
    <row r="18">
      <c r="A18" s="9">
        <v>45632.0</v>
      </c>
      <c r="B18" s="5">
        <v>24677.8</v>
      </c>
      <c r="C18" s="8">
        <f t="shared" si="1"/>
        <v>0.002385551512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6" t="s">
        <v>10</v>
      </c>
    </row>
    <row r="19">
      <c r="A19" s="9">
        <v>45631.0</v>
      </c>
      <c r="B19" s="5">
        <v>24708.4</v>
      </c>
      <c r="C19" s="8">
        <f t="shared" si="1"/>
        <v>0.001239212732</v>
      </c>
      <c r="D19" s="6" t="s">
        <v>10</v>
      </c>
      <c r="E19" s="6" t="s">
        <v>10</v>
      </c>
      <c r="F19" s="6" t="s">
        <v>10</v>
      </c>
      <c r="G19" s="6" t="s">
        <v>10</v>
      </c>
      <c r="H19" s="6" t="s">
        <v>10</v>
      </c>
      <c r="I19" s="6" t="s">
        <v>10</v>
      </c>
      <c r="J19" s="6" t="s">
        <v>10</v>
      </c>
    </row>
    <row r="20">
      <c r="A20" s="9">
        <v>45630.0</v>
      </c>
      <c r="B20" s="5">
        <v>24467.45</v>
      </c>
      <c r="C20" s="8">
        <f t="shared" si="1"/>
        <v>-0.009799604003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  <c r="J20" s="6" t="s">
        <v>10</v>
      </c>
    </row>
    <row r="21">
      <c r="A21" s="9">
        <v>45629.0</v>
      </c>
      <c r="B21" s="5">
        <v>24457.15</v>
      </c>
      <c r="C21" s="8">
        <f t="shared" si="1"/>
        <v>-0.0004210560803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10</v>
      </c>
      <c r="I21" s="6" t="s">
        <v>10</v>
      </c>
      <c r="J21" s="6" t="s">
        <v>10</v>
      </c>
    </row>
    <row r="22">
      <c r="A22" s="9">
        <v>45628.0</v>
      </c>
      <c r="B22" s="5">
        <v>24276.05</v>
      </c>
      <c r="C22" s="8">
        <f t="shared" si="1"/>
        <v>-0.007432339089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10</v>
      </c>
      <c r="I22" s="6" t="s">
        <v>10</v>
      </c>
      <c r="J22" s="6" t="s">
        <v>10</v>
      </c>
    </row>
    <row r="23">
      <c r="A23" s="4">
        <v>45625.0</v>
      </c>
      <c r="B23" s="5">
        <v>24131.1</v>
      </c>
      <c r="C23" s="8">
        <f t="shared" si="1"/>
        <v>-0.005988802614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10</v>
      </c>
      <c r="I23" s="6" t="s">
        <v>10</v>
      </c>
      <c r="J23" s="6" t="s">
        <v>10</v>
      </c>
    </row>
    <row r="24">
      <c r="A24" s="4">
        <v>45624.0</v>
      </c>
      <c r="B24" s="5">
        <v>23914.15</v>
      </c>
      <c r="C24" s="8">
        <f t="shared" si="1"/>
        <v>-0.009031131051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10</v>
      </c>
      <c r="I24" s="6" t="s">
        <v>10</v>
      </c>
      <c r="J24" s="6" t="s">
        <v>10</v>
      </c>
    </row>
    <row r="25">
      <c r="A25" s="4">
        <v>45623.0</v>
      </c>
      <c r="B25" s="5">
        <v>24274.9</v>
      </c>
      <c r="C25" s="8">
        <f t="shared" si="1"/>
        <v>0.01497256075</v>
      </c>
      <c r="D25" s="6" t="s">
        <v>10</v>
      </c>
      <c r="E25" s="6" t="s">
        <v>10</v>
      </c>
      <c r="F25" s="6" t="s">
        <v>10</v>
      </c>
      <c r="G25" s="6" t="s">
        <v>10</v>
      </c>
      <c r="H25" s="6" t="s">
        <v>10</v>
      </c>
      <c r="I25" s="6" t="s">
        <v>10</v>
      </c>
      <c r="J25" s="6" t="s">
        <v>10</v>
      </c>
    </row>
    <row r="26">
      <c r="A26" s="4">
        <v>45622.0</v>
      </c>
      <c r="B26" s="5">
        <v>24194.5</v>
      </c>
      <c r="C26" s="8">
        <f t="shared" si="1"/>
        <v>-0.003317560099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6" t="s">
        <v>10</v>
      </c>
    </row>
    <row r="27">
      <c r="A27" s="4">
        <v>45621.0</v>
      </c>
      <c r="B27" s="5">
        <v>24221.9</v>
      </c>
      <c r="C27" s="8">
        <f t="shared" si="1"/>
        <v>0.001131848007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10</v>
      </c>
      <c r="I27" s="6" t="s">
        <v>10</v>
      </c>
      <c r="J27" s="6" t="s">
        <v>10</v>
      </c>
    </row>
    <row r="28">
      <c r="A28" s="4">
        <v>45618.0</v>
      </c>
      <c r="B28" s="5">
        <v>23907.25</v>
      </c>
      <c r="C28" s="8">
        <f t="shared" si="1"/>
        <v>-0.01307542239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10</v>
      </c>
      <c r="I28" s="6" t="s">
        <v>10</v>
      </c>
      <c r="J28" s="6" t="s">
        <v>10</v>
      </c>
    </row>
    <row r="29">
      <c r="A29" s="4">
        <v>45617.0</v>
      </c>
      <c r="B29" s="5">
        <v>23349.9</v>
      </c>
      <c r="C29" s="8">
        <f t="shared" si="1"/>
        <v>-0.02358905877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10</v>
      </c>
      <c r="I29" s="6" t="s">
        <v>10</v>
      </c>
      <c r="J29" s="6" t="s">
        <v>10</v>
      </c>
    </row>
    <row r="30">
      <c r="A30" s="4">
        <v>45615.0</v>
      </c>
      <c r="B30" s="5">
        <v>23518.5</v>
      </c>
      <c r="C30" s="8">
        <f t="shared" si="1"/>
        <v>0.007194644036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10</v>
      </c>
      <c r="I30" s="6" t="s">
        <v>10</v>
      </c>
      <c r="J30" s="6" t="s">
        <v>10</v>
      </c>
    </row>
    <row r="31">
      <c r="A31" s="4">
        <v>45614.0</v>
      </c>
      <c r="B31" s="5">
        <v>23453.8</v>
      </c>
      <c r="C31" s="8">
        <f t="shared" si="1"/>
        <v>-0.002754816814</v>
      </c>
      <c r="D31" s="6" t="s">
        <v>10</v>
      </c>
      <c r="E31" s="6" t="s">
        <v>10</v>
      </c>
      <c r="F31" s="6" t="s">
        <v>10</v>
      </c>
      <c r="G31" s="6" t="s">
        <v>10</v>
      </c>
      <c r="H31" s="6" t="s">
        <v>10</v>
      </c>
      <c r="I31" s="6" t="s">
        <v>10</v>
      </c>
      <c r="J31" s="6" t="s">
        <v>10</v>
      </c>
    </row>
    <row r="32">
      <c r="A32" s="4">
        <v>45610.0</v>
      </c>
      <c r="B32" s="5">
        <v>23532.7</v>
      </c>
      <c r="C32" s="8">
        <f t="shared" si="1"/>
        <v>0.003358414615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10</v>
      </c>
      <c r="I32" s="6" t="s">
        <v>10</v>
      </c>
      <c r="J32" s="6" t="s">
        <v>10</v>
      </c>
    </row>
    <row r="33">
      <c r="A33" s="4">
        <v>45609.0</v>
      </c>
      <c r="B33" s="5">
        <v>23559.05</v>
      </c>
      <c r="C33" s="8">
        <f t="shared" si="1"/>
        <v>0.001119092102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10</v>
      </c>
      <c r="I33" s="6" t="s">
        <v>10</v>
      </c>
      <c r="J33" s="6" t="s">
        <v>10</v>
      </c>
    </row>
    <row r="34">
      <c r="A34" s="4">
        <v>45608.0</v>
      </c>
      <c r="B34" s="5">
        <v>23883.45</v>
      </c>
      <c r="C34" s="8">
        <f t="shared" si="1"/>
        <v>0.01367571506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  <c r="J34" s="6" t="s">
        <v>10</v>
      </c>
    </row>
    <row r="35">
      <c r="A35" s="4">
        <v>45607.0</v>
      </c>
      <c r="B35" s="5">
        <v>24141.3</v>
      </c>
      <c r="C35" s="8">
        <f t="shared" si="1"/>
        <v>0.0107383163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10</v>
      </c>
      <c r="I35" s="6" t="s">
        <v>10</v>
      </c>
      <c r="J35" s="6" t="s">
        <v>10</v>
      </c>
    </row>
    <row r="36">
      <c r="A36" s="9">
        <v>45604.0</v>
      </c>
      <c r="B36" s="5">
        <v>24148.2</v>
      </c>
      <c r="C36" s="8">
        <f t="shared" si="1"/>
        <v>0.000285776413</v>
      </c>
      <c r="D36" s="6" t="s">
        <v>10</v>
      </c>
      <c r="E36" s="6" t="s">
        <v>10</v>
      </c>
      <c r="F36" s="6" t="s">
        <v>10</v>
      </c>
      <c r="G36" s="6" t="s">
        <v>10</v>
      </c>
      <c r="H36" s="6" t="s">
        <v>10</v>
      </c>
      <c r="I36" s="6" t="s">
        <v>10</v>
      </c>
      <c r="J36" s="6" t="s">
        <v>10</v>
      </c>
    </row>
    <row r="37">
      <c r="A37" s="9">
        <v>45603.0</v>
      </c>
      <c r="B37" s="5">
        <v>24199.35</v>
      </c>
      <c r="C37" s="8">
        <f t="shared" si="1"/>
        <v>0.002115930139</v>
      </c>
      <c r="D37" s="6" t="s">
        <v>10</v>
      </c>
      <c r="E37" s="6" t="s">
        <v>10</v>
      </c>
      <c r="F37" s="6" t="s">
        <v>10</v>
      </c>
      <c r="G37" s="6" t="s">
        <v>10</v>
      </c>
      <c r="H37" s="6" t="s">
        <v>10</v>
      </c>
      <c r="I37" s="6" t="s">
        <v>10</v>
      </c>
      <c r="J37" s="6" t="s">
        <v>10</v>
      </c>
    </row>
    <row r="38">
      <c r="A38" s="9">
        <v>45602.0</v>
      </c>
      <c r="B38" s="5">
        <v>24484.05</v>
      </c>
      <c r="C38" s="8">
        <f t="shared" si="1"/>
        <v>0.01169611184</v>
      </c>
      <c r="D38" s="6" t="s">
        <v>10</v>
      </c>
      <c r="E38" s="6" t="s">
        <v>10</v>
      </c>
      <c r="F38" s="6" t="s">
        <v>10</v>
      </c>
      <c r="G38" s="6" t="s">
        <v>10</v>
      </c>
      <c r="H38" s="6" t="s">
        <v>10</v>
      </c>
      <c r="I38" s="6" t="s">
        <v>10</v>
      </c>
      <c r="J38" s="6" t="s">
        <v>10</v>
      </c>
    </row>
    <row r="39">
      <c r="A39" s="9">
        <v>45601.0</v>
      </c>
      <c r="B39" s="5">
        <v>24213.3</v>
      </c>
      <c r="C39" s="8">
        <f t="shared" si="1"/>
        <v>-0.01111981616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10</v>
      </c>
      <c r="I39" s="6" t="s">
        <v>10</v>
      </c>
      <c r="J39" s="6" t="s">
        <v>10</v>
      </c>
    </row>
    <row r="40">
      <c r="A40" s="9">
        <v>45600.0</v>
      </c>
      <c r="B40" s="5">
        <v>23995.35</v>
      </c>
      <c r="C40" s="8">
        <f t="shared" si="1"/>
        <v>-0.009042007396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10</v>
      </c>
      <c r="I40" s="6" t="s">
        <v>10</v>
      </c>
      <c r="J40" s="6" t="s">
        <v>10</v>
      </c>
    </row>
    <row r="41">
      <c r="A41" s="9">
        <v>45597.0</v>
      </c>
      <c r="B41" s="5">
        <v>24304.35</v>
      </c>
      <c r="C41" s="8">
        <f t="shared" si="1"/>
        <v>0.0127952851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10</v>
      </c>
      <c r="I41" s="6" t="s">
        <v>10</v>
      </c>
      <c r="J41" s="6" t="s">
        <v>10</v>
      </c>
    </row>
    <row r="42">
      <c r="A42" s="4">
        <v>45596.0</v>
      </c>
      <c r="B42" s="5">
        <v>24205.35</v>
      </c>
      <c r="C42" s="8">
        <f t="shared" si="1"/>
        <v>-0.004081663562</v>
      </c>
      <c r="D42" s="6" t="s">
        <v>10</v>
      </c>
      <c r="E42" s="6" t="s">
        <v>10</v>
      </c>
      <c r="F42" s="6" t="s">
        <v>10</v>
      </c>
      <c r="G42" s="6" t="s">
        <v>10</v>
      </c>
      <c r="H42" s="6" t="s">
        <v>10</v>
      </c>
      <c r="I42" s="6" t="s">
        <v>10</v>
      </c>
      <c r="J42" s="6" t="s">
        <v>10</v>
      </c>
    </row>
    <row r="43">
      <c r="A43" s="4">
        <v>45595.0</v>
      </c>
      <c r="B43" s="5">
        <v>24340.85</v>
      </c>
      <c r="C43" s="8">
        <f t="shared" si="1"/>
        <v>0.005582325779</v>
      </c>
      <c r="D43" s="6" t="s">
        <v>10</v>
      </c>
      <c r="E43" s="6" t="s">
        <v>10</v>
      </c>
      <c r="F43" s="6" t="s">
        <v>10</v>
      </c>
      <c r="G43" s="6" t="s">
        <v>10</v>
      </c>
      <c r="H43" s="6" t="s">
        <v>10</v>
      </c>
      <c r="I43" s="6" t="s">
        <v>10</v>
      </c>
      <c r="J43" s="6" t="s">
        <v>10</v>
      </c>
    </row>
    <row r="44">
      <c r="A44" s="4">
        <v>45594.0</v>
      </c>
      <c r="B44" s="5">
        <v>24466.85</v>
      </c>
      <c r="C44" s="8">
        <f t="shared" si="1"/>
        <v>0.005163131223</v>
      </c>
      <c r="D44" s="6" t="s">
        <v>10</v>
      </c>
      <c r="E44" s="6" t="s">
        <v>10</v>
      </c>
      <c r="F44" s="6" t="s">
        <v>10</v>
      </c>
      <c r="G44" s="6" t="s">
        <v>10</v>
      </c>
      <c r="H44" s="6" t="s">
        <v>10</v>
      </c>
      <c r="I44" s="6" t="s">
        <v>10</v>
      </c>
      <c r="J44" s="6" t="s">
        <v>10</v>
      </c>
    </row>
    <row r="45">
      <c r="A45" s="4">
        <v>45593.0</v>
      </c>
      <c r="B45" s="5">
        <v>24339.15</v>
      </c>
      <c r="C45" s="8">
        <f t="shared" si="1"/>
        <v>-0.005232975102</v>
      </c>
      <c r="D45" s="6" t="s">
        <v>10</v>
      </c>
      <c r="E45" s="6" t="s">
        <v>10</v>
      </c>
      <c r="F45" s="6" t="s">
        <v>10</v>
      </c>
      <c r="G45" s="6" t="s">
        <v>10</v>
      </c>
      <c r="H45" s="6" t="s">
        <v>10</v>
      </c>
      <c r="I45" s="6" t="s">
        <v>10</v>
      </c>
      <c r="J45" s="6" t="s">
        <v>10</v>
      </c>
    </row>
    <row r="46">
      <c r="A46" s="4">
        <v>45590.0</v>
      </c>
      <c r="B46" s="5">
        <v>24180.8</v>
      </c>
      <c r="C46" s="8">
        <f t="shared" si="1"/>
        <v>-0.006527235177</v>
      </c>
      <c r="D46" s="6" t="s">
        <v>10</v>
      </c>
      <c r="E46" s="6" t="s">
        <v>10</v>
      </c>
      <c r="F46" s="6" t="s">
        <v>10</v>
      </c>
      <c r="G46" s="6" t="s">
        <v>10</v>
      </c>
      <c r="H46" s="6" t="s">
        <v>10</v>
      </c>
      <c r="I46" s="6" t="s">
        <v>10</v>
      </c>
      <c r="J46" s="6" t="s">
        <v>10</v>
      </c>
    </row>
    <row r="47">
      <c r="A47" s="4">
        <v>45589.0</v>
      </c>
      <c r="B47" s="5">
        <v>24399.4</v>
      </c>
      <c r="C47" s="8">
        <f t="shared" si="1"/>
        <v>0.008999611999</v>
      </c>
      <c r="D47" s="6" t="s">
        <v>10</v>
      </c>
      <c r="E47" s="6" t="s">
        <v>10</v>
      </c>
      <c r="F47" s="6" t="s">
        <v>10</v>
      </c>
      <c r="G47" s="6" t="s">
        <v>10</v>
      </c>
      <c r="H47" s="6" t="s">
        <v>10</v>
      </c>
      <c r="I47" s="6" t="s">
        <v>10</v>
      </c>
      <c r="J47" s="6" t="s">
        <v>10</v>
      </c>
    </row>
    <row r="48">
      <c r="A48" s="4">
        <v>45588.0</v>
      </c>
      <c r="B48" s="5">
        <v>24435.5</v>
      </c>
      <c r="C48" s="8">
        <f t="shared" si="1"/>
        <v>0.001478451131</v>
      </c>
      <c r="D48" s="6" t="s">
        <v>10</v>
      </c>
      <c r="E48" s="6" t="s">
        <v>10</v>
      </c>
      <c r="F48" s="6" t="s">
        <v>10</v>
      </c>
      <c r="G48" s="6" t="s">
        <v>10</v>
      </c>
      <c r="H48" s="6" t="s">
        <v>10</v>
      </c>
      <c r="I48" s="6" t="s">
        <v>10</v>
      </c>
      <c r="J48" s="6" t="s">
        <v>10</v>
      </c>
    </row>
    <row r="49">
      <c r="A49" s="4">
        <v>45587.0</v>
      </c>
      <c r="B49" s="5">
        <v>24472.1</v>
      </c>
      <c r="C49" s="8">
        <f t="shared" si="1"/>
        <v>0.001496700179</v>
      </c>
      <c r="D49" s="6" t="s">
        <v>10</v>
      </c>
      <c r="E49" s="6" t="s">
        <v>10</v>
      </c>
      <c r="F49" s="6" t="s">
        <v>10</v>
      </c>
      <c r="G49" s="6" t="s">
        <v>10</v>
      </c>
      <c r="H49" s="6" t="s">
        <v>10</v>
      </c>
      <c r="I49" s="6" t="s">
        <v>10</v>
      </c>
      <c r="J49" s="6" t="s">
        <v>10</v>
      </c>
    </row>
    <row r="50">
      <c r="A50" s="4">
        <v>45586.0</v>
      </c>
      <c r="B50" s="5">
        <v>24781.1</v>
      </c>
      <c r="C50" s="8">
        <f t="shared" si="1"/>
        <v>0.01254757271</v>
      </c>
      <c r="D50" s="6" t="s">
        <v>10</v>
      </c>
      <c r="E50" s="6" t="s">
        <v>10</v>
      </c>
      <c r="F50" s="6" t="s">
        <v>10</v>
      </c>
      <c r="G50" s="6" t="s">
        <v>10</v>
      </c>
      <c r="H50" s="6" t="s">
        <v>10</v>
      </c>
      <c r="I50" s="6" t="s">
        <v>10</v>
      </c>
      <c r="J50" s="6" t="s">
        <v>10</v>
      </c>
    </row>
    <row r="51">
      <c r="A51" s="4">
        <v>45583.0</v>
      </c>
      <c r="B51" s="5">
        <v>24854.05</v>
      </c>
      <c r="C51" s="8">
        <f t="shared" si="1"/>
        <v>0.002939451277</v>
      </c>
      <c r="D51" s="6" t="s">
        <v>10</v>
      </c>
      <c r="E51" s="6" t="s">
        <v>10</v>
      </c>
      <c r="F51" s="6" t="s">
        <v>10</v>
      </c>
      <c r="G51" s="6" t="s">
        <v>10</v>
      </c>
      <c r="H51" s="6" t="s">
        <v>10</v>
      </c>
      <c r="I51" s="6" t="s">
        <v>10</v>
      </c>
      <c r="J51" s="6" t="s">
        <v>10</v>
      </c>
    </row>
    <row r="52">
      <c r="A52" s="4">
        <v>45582.0</v>
      </c>
      <c r="B52" s="5">
        <v>24749.85</v>
      </c>
      <c r="C52" s="8">
        <f t="shared" si="1"/>
        <v>-0.00420128874</v>
      </c>
      <c r="D52" s="8">
        <f t="shared" ref="D52:D249" si="3">AVERAGE(B3:B52)</f>
        <v>24197.174</v>
      </c>
      <c r="E52" s="8">
        <f t="shared" ref="E52:E249" si="4">IF(B52&gt;D52,1,0)</f>
        <v>1</v>
      </c>
      <c r="F52" s="8"/>
      <c r="G52" s="8">
        <f t="shared" ref="G52:H52" si="2">1</f>
        <v>1</v>
      </c>
      <c r="H52" s="8">
        <f t="shared" si="2"/>
        <v>1</v>
      </c>
      <c r="I52" s="7">
        <f>G52</f>
        <v>1</v>
      </c>
    </row>
    <row r="53">
      <c r="A53" s="4">
        <v>45581.0</v>
      </c>
      <c r="B53" s="5">
        <v>24971.3</v>
      </c>
      <c r="C53" s="8">
        <f t="shared" si="1"/>
        <v>0.008907737021</v>
      </c>
      <c r="D53" s="8">
        <f t="shared" si="3"/>
        <v>24223.702</v>
      </c>
      <c r="E53" s="8">
        <f t="shared" si="4"/>
        <v>1</v>
      </c>
      <c r="F53" s="6">
        <f t="shared" ref="F53:F249" si="5">E52*C53</f>
        <v>0.008907737021</v>
      </c>
      <c r="G53" s="8">
        <f t="shared" ref="G53:G249" si="6">G52*EXP(F53)</f>
        <v>1.008947529</v>
      </c>
      <c r="H53" s="8">
        <f t="shared" ref="H53:H249" si="7">H52*EXP(C53)</f>
        <v>1.008947529</v>
      </c>
      <c r="I53" s="7">
        <f t="shared" ref="I53:I249" si="8">MAX(I52,G53)
</f>
        <v>1.008947529</v>
      </c>
      <c r="J53" s="7">
        <f t="shared" ref="J53:J249" si="9">(G53-I53)/I53
</f>
        <v>0</v>
      </c>
    </row>
    <row r="54">
      <c r="A54" s="4">
        <v>45580.0</v>
      </c>
      <c r="B54" s="5">
        <v>25057.35</v>
      </c>
      <c r="C54" s="8">
        <f t="shared" si="1"/>
        <v>0.003440032256</v>
      </c>
      <c r="D54" s="8">
        <f t="shared" si="3"/>
        <v>24248.581</v>
      </c>
      <c r="E54" s="8">
        <f t="shared" si="4"/>
        <v>1</v>
      </c>
      <c r="F54" s="6">
        <f t="shared" si="5"/>
        <v>0.003440032256</v>
      </c>
      <c r="G54" s="8">
        <f t="shared" si="6"/>
        <v>1.012424318</v>
      </c>
      <c r="H54" s="8">
        <f t="shared" si="7"/>
        <v>1.012424318</v>
      </c>
      <c r="I54" s="7">
        <f t="shared" si="8"/>
        <v>1.012424318</v>
      </c>
      <c r="J54" s="7">
        <f t="shared" si="9"/>
        <v>0</v>
      </c>
    </row>
    <row r="55">
      <c r="A55" s="4">
        <v>45579.0</v>
      </c>
      <c r="B55" s="5">
        <v>25127.95</v>
      </c>
      <c r="C55" s="8">
        <f t="shared" si="1"/>
        <v>0.002813574755</v>
      </c>
      <c r="D55" s="8">
        <f t="shared" si="3"/>
        <v>24276.136</v>
      </c>
      <c r="E55" s="8">
        <f t="shared" si="4"/>
        <v>1</v>
      </c>
      <c r="F55" s="6">
        <f t="shared" si="5"/>
        <v>0.002813574755</v>
      </c>
      <c r="G55" s="8">
        <f t="shared" si="6"/>
        <v>1.01527686</v>
      </c>
      <c r="H55" s="8">
        <f t="shared" si="7"/>
        <v>1.01527686</v>
      </c>
      <c r="I55" s="7">
        <f t="shared" si="8"/>
        <v>1.01527686</v>
      </c>
      <c r="J55" s="7">
        <f t="shared" si="9"/>
        <v>0</v>
      </c>
    </row>
    <row r="56">
      <c r="A56" s="4">
        <v>45576.0</v>
      </c>
      <c r="B56" s="5">
        <v>24964.25</v>
      </c>
      <c r="C56" s="8">
        <f t="shared" si="1"/>
        <v>-0.00653597098</v>
      </c>
      <c r="D56" s="8">
        <f t="shared" si="3"/>
        <v>24300.868</v>
      </c>
      <c r="E56" s="8">
        <f t="shared" si="4"/>
        <v>1</v>
      </c>
      <c r="F56" s="6">
        <f t="shared" si="5"/>
        <v>-0.00653597098</v>
      </c>
      <c r="G56" s="8">
        <f t="shared" si="6"/>
        <v>1.008662679</v>
      </c>
      <c r="H56" s="8">
        <f t="shared" si="7"/>
        <v>1.008662679</v>
      </c>
      <c r="I56" s="7">
        <f t="shared" si="8"/>
        <v>1.01527686</v>
      </c>
      <c r="J56" s="7">
        <f t="shared" si="9"/>
        <v>-0.00651465798</v>
      </c>
    </row>
    <row r="57">
      <c r="A57" s="4">
        <v>45575.0</v>
      </c>
      <c r="B57" s="5">
        <v>24998.45</v>
      </c>
      <c r="C57" s="8">
        <f t="shared" si="1"/>
        <v>0.001369021504</v>
      </c>
      <c r="D57" s="8">
        <f t="shared" si="3"/>
        <v>24325.768</v>
      </c>
      <c r="E57" s="8">
        <f t="shared" si="4"/>
        <v>1</v>
      </c>
      <c r="F57" s="6">
        <f t="shared" si="5"/>
        <v>0.001369021504</v>
      </c>
      <c r="G57" s="8">
        <f t="shared" si="6"/>
        <v>1.010044505</v>
      </c>
      <c r="H57" s="8">
        <f t="shared" si="7"/>
        <v>1.010044505</v>
      </c>
      <c r="I57" s="7">
        <f t="shared" si="8"/>
        <v>1.01527686</v>
      </c>
      <c r="J57" s="7">
        <f t="shared" si="9"/>
        <v>-0.005153623754</v>
      </c>
    </row>
    <row r="58">
      <c r="A58" s="9">
        <v>45574.0</v>
      </c>
      <c r="B58" s="5">
        <v>24981.95</v>
      </c>
      <c r="C58" s="8">
        <f t="shared" si="1"/>
        <v>-0.0006602588454</v>
      </c>
      <c r="D58" s="8">
        <f t="shared" si="3"/>
        <v>24353.657</v>
      </c>
      <c r="E58" s="8">
        <f t="shared" si="4"/>
        <v>1</v>
      </c>
      <c r="F58" s="6">
        <f t="shared" si="5"/>
        <v>-0.0006602588454</v>
      </c>
      <c r="G58" s="8">
        <f t="shared" si="6"/>
        <v>1.009377835</v>
      </c>
      <c r="H58" s="8">
        <f t="shared" si="7"/>
        <v>1.009377835</v>
      </c>
      <c r="I58" s="7">
        <f t="shared" si="8"/>
        <v>1.01527686</v>
      </c>
      <c r="J58" s="7">
        <f t="shared" si="9"/>
        <v>-0.005810263074</v>
      </c>
    </row>
    <row r="59">
      <c r="A59" s="9">
        <v>45573.0</v>
      </c>
      <c r="B59" s="5">
        <v>25013.15</v>
      </c>
      <c r="C59" s="8">
        <f t="shared" si="1"/>
        <v>0.001248122478</v>
      </c>
      <c r="D59" s="8">
        <f t="shared" si="3"/>
        <v>24374.886</v>
      </c>
      <c r="E59" s="8">
        <f t="shared" si="4"/>
        <v>1</v>
      </c>
      <c r="F59" s="6">
        <f t="shared" si="5"/>
        <v>0.001248122478</v>
      </c>
      <c r="G59" s="8">
        <f t="shared" si="6"/>
        <v>1.010638448</v>
      </c>
      <c r="H59" s="8">
        <f t="shared" si="7"/>
        <v>1.010638448</v>
      </c>
      <c r="I59" s="7">
        <f t="shared" si="8"/>
        <v>1.01527686</v>
      </c>
      <c r="J59" s="7">
        <f t="shared" si="9"/>
        <v>-0.004568617814</v>
      </c>
    </row>
    <row r="60">
      <c r="A60" s="9">
        <v>45572.0</v>
      </c>
      <c r="B60" s="5">
        <v>24795.75</v>
      </c>
      <c r="C60" s="8">
        <f t="shared" si="1"/>
        <v>-0.008729419061</v>
      </c>
      <c r="D60" s="8">
        <f t="shared" si="3"/>
        <v>24386.824</v>
      </c>
      <c r="E60" s="8">
        <f t="shared" si="4"/>
        <v>1</v>
      </c>
      <c r="F60" s="6">
        <f t="shared" si="5"/>
        <v>-0.008729419061</v>
      </c>
      <c r="G60" s="8">
        <f t="shared" si="6"/>
        <v>1.001854557</v>
      </c>
      <c r="H60" s="8">
        <f t="shared" si="7"/>
        <v>1.001854557</v>
      </c>
      <c r="I60" s="7">
        <f t="shared" si="8"/>
        <v>1.01527686</v>
      </c>
      <c r="J60" s="7">
        <f t="shared" si="9"/>
        <v>-0.01322033831</v>
      </c>
    </row>
    <row r="61">
      <c r="A61" s="9">
        <v>45569.0</v>
      </c>
      <c r="B61" s="5">
        <v>25014.6</v>
      </c>
      <c r="C61" s="8">
        <f t="shared" si="1"/>
        <v>0.008787386889</v>
      </c>
      <c r="D61" s="8">
        <f t="shared" si="3"/>
        <v>24400.396</v>
      </c>
      <c r="E61" s="8">
        <f t="shared" si="4"/>
        <v>1</v>
      </c>
      <c r="F61" s="6">
        <f t="shared" si="5"/>
        <v>0.008787386889</v>
      </c>
      <c r="G61" s="8">
        <f t="shared" si="6"/>
        <v>1.010697035</v>
      </c>
      <c r="H61" s="8">
        <f t="shared" si="7"/>
        <v>1.010697035</v>
      </c>
      <c r="I61" s="7">
        <f t="shared" si="8"/>
        <v>1.01527686</v>
      </c>
      <c r="J61" s="7">
        <f t="shared" si="9"/>
        <v>-0.004510913147</v>
      </c>
    </row>
    <row r="62">
      <c r="A62" s="9">
        <v>45568.0</v>
      </c>
      <c r="B62" s="5">
        <v>25250.1</v>
      </c>
      <c r="C62" s="8">
        <f t="shared" si="1"/>
        <v>0.009370461703</v>
      </c>
      <c r="D62" s="8">
        <f t="shared" si="3"/>
        <v>24412.033</v>
      </c>
      <c r="E62" s="8">
        <f t="shared" si="4"/>
        <v>1</v>
      </c>
      <c r="F62" s="6">
        <f t="shared" si="5"/>
        <v>0.009370461703</v>
      </c>
      <c r="G62" s="8">
        <f t="shared" si="6"/>
        <v>1.020212244</v>
      </c>
      <c r="H62" s="8">
        <f t="shared" si="7"/>
        <v>1.020212244</v>
      </c>
      <c r="I62" s="7">
        <f t="shared" si="8"/>
        <v>1.020212244</v>
      </c>
      <c r="J62" s="7">
        <f t="shared" si="9"/>
        <v>0</v>
      </c>
    </row>
    <row r="63">
      <c r="A63" s="9">
        <v>45566.0</v>
      </c>
      <c r="B63" s="5">
        <v>25796.9</v>
      </c>
      <c r="C63" s="8">
        <f t="shared" si="1"/>
        <v>0.02142421356</v>
      </c>
      <c r="D63" s="8">
        <f t="shared" si="3"/>
        <v>24432.605</v>
      </c>
      <c r="E63" s="8">
        <f t="shared" si="4"/>
        <v>1</v>
      </c>
      <c r="F63" s="6">
        <f t="shared" si="5"/>
        <v>0.02142421356</v>
      </c>
      <c r="G63" s="8">
        <f t="shared" si="6"/>
        <v>1.042305307</v>
      </c>
      <c r="H63" s="8">
        <f t="shared" si="7"/>
        <v>1.042305307</v>
      </c>
      <c r="I63" s="7">
        <f t="shared" si="8"/>
        <v>1.042305307</v>
      </c>
      <c r="J63" s="7">
        <f t="shared" si="9"/>
        <v>0</v>
      </c>
    </row>
    <row r="64">
      <c r="A64" s="4">
        <v>45565.0</v>
      </c>
      <c r="B64" s="5">
        <v>25810.85</v>
      </c>
      <c r="C64" s="8">
        <f t="shared" si="1"/>
        <v>0.0005406164903</v>
      </c>
      <c r="D64" s="8">
        <f t="shared" si="3"/>
        <v>24457.848</v>
      </c>
      <c r="E64" s="8">
        <f t="shared" si="4"/>
        <v>1</v>
      </c>
      <c r="F64" s="6">
        <f t="shared" si="5"/>
        <v>0.0005406164903</v>
      </c>
      <c r="G64" s="8">
        <f t="shared" si="6"/>
        <v>1.042868947</v>
      </c>
      <c r="H64" s="8">
        <f t="shared" si="7"/>
        <v>1.042868947</v>
      </c>
      <c r="I64" s="7">
        <f t="shared" si="8"/>
        <v>1.042868947</v>
      </c>
      <c r="J64" s="7">
        <f t="shared" si="9"/>
        <v>0</v>
      </c>
    </row>
    <row r="65">
      <c r="A65" s="4">
        <v>45562.0</v>
      </c>
      <c r="B65" s="5">
        <v>26178.95</v>
      </c>
      <c r="C65" s="8">
        <f t="shared" si="1"/>
        <v>0.01416070657</v>
      </c>
      <c r="D65" s="8">
        <f t="shared" si="3"/>
        <v>24488.591</v>
      </c>
      <c r="E65" s="8">
        <f t="shared" si="4"/>
        <v>1</v>
      </c>
      <c r="F65" s="6">
        <f t="shared" si="5"/>
        <v>0.01416070657</v>
      </c>
      <c r="G65" s="8">
        <f t="shared" si="6"/>
        <v>1.057741764</v>
      </c>
      <c r="H65" s="8">
        <f t="shared" si="7"/>
        <v>1.057741764</v>
      </c>
      <c r="I65" s="7">
        <f t="shared" si="8"/>
        <v>1.057741764</v>
      </c>
      <c r="J65" s="7">
        <f t="shared" si="9"/>
        <v>0</v>
      </c>
    </row>
    <row r="66">
      <c r="A66" s="4">
        <v>45561.0</v>
      </c>
      <c r="B66" s="5">
        <v>26216.05</v>
      </c>
      <c r="C66" s="8">
        <f t="shared" si="1"/>
        <v>0.001416165901</v>
      </c>
      <c r="D66" s="8">
        <f t="shared" si="3"/>
        <v>24520.711</v>
      </c>
      <c r="E66" s="8">
        <f t="shared" si="4"/>
        <v>1</v>
      </c>
      <c r="F66" s="6">
        <f t="shared" si="5"/>
        <v>0.001416165901</v>
      </c>
      <c r="G66" s="8">
        <f t="shared" si="6"/>
        <v>1.059240763</v>
      </c>
      <c r="H66" s="8">
        <f t="shared" si="7"/>
        <v>1.059240763</v>
      </c>
      <c r="I66" s="7">
        <f t="shared" si="8"/>
        <v>1.059240763</v>
      </c>
      <c r="J66" s="7">
        <f t="shared" si="9"/>
        <v>0</v>
      </c>
    </row>
    <row r="67">
      <c r="A67" s="4">
        <v>45560.0</v>
      </c>
      <c r="B67" s="5">
        <v>26004.15</v>
      </c>
      <c r="C67" s="8">
        <f t="shared" si="1"/>
        <v>-0.008115677958</v>
      </c>
      <c r="D67" s="8">
        <f t="shared" si="3"/>
        <v>24548.414</v>
      </c>
      <c r="E67" s="8">
        <f t="shared" si="4"/>
        <v>1</v>
      </c>
      <c r="F67" s="6">
        <f t="shared" si="5"/>
        <v>-0.008115677958</v>
      </c>
      <c r="G67" s="8">
        <f t="shared" si="6"/>
        <v>1.050679095</v>
      </c>
      <c r="H67" s="8">
        <f t="shared" si="7"/>
        <v>1.050679095</v>
      </c>
      <c r="I67" s="7">
        <f t="shared" si="8"/>
        <v>1.059240763</v>
      </c>
      <c r="J67" s="7">
        <f t="shared" si="9"/>
        <v>-0.008082834752</v>
      </c>
    </row>
    <row r="68">
      <c r="A68" s="4">
        <v>45559.0</v>
      </c>
      <c r="B68" s="5">
        <v>25940.4</v>
      </c>
      <c r="C68" s="8">
        <f t="shared" si="1"/>
        <v>-0.002454541699</v>
      </c>
      <c r="D68" s="8">
        <f t="shared" si="3"/>
        <v>24573.666</v>
      </c>
      <c r="E68" s="8">
        <f t="shared" si="4"/>
        <v>1</v>
      </c>
      <c r="F68" s="6">
        <f t="shared" si="5"/>
        <v>-0.002454541699</v>
      </c>
      <c r="G68" s="8">
        <f t="shared" si="6"/>
        <v>1.048103322</v>
      </c>
      <c r="H68" s="8">
        <f t="shared" si="7"/>
        <v>1.048103322</v>
      </c>
      <c r="I68" s="7">
        <f t="shared" si="8"/>
        <v>1.059240763</v>
      </c>
      <c r="J68" s="7">
        <f t="shared" si="9"/>
        <v>-0.0105145512</v>
      </c>
    </row>
    <row r="69">
      <c r="A69" s="4">
        <v>45558.0</v>
      </c>
      <c r="B69" s="5">
        <v>25939.05</v>
      </c>
      <c r="C69" s="8">
        <f t="shared" si="1"/>
        <v>-0.00005204372831</v>
      </c>
      <c r="D69" s="8">
        <f t="shared" si="3"/>
        <v>24598.279</v>
      </c>
      <c r="E69" s="8">
        <f t="shared" si="4"/>
        <v>1</v>
      </c>
      <c r="F69" s="6">
        <f t="shared" si="5"/>
        <v>-0.00005204372831</v>
      </c>
      <c r="G69" s="8">
        <f t="shared" si="6"/>
        <v>1.048048776</v>
      </c>
      <c r="H69" s="8">
        <f t="shared" si="7"/>
        <v>1.048048776</v>
      </c>
      <c r="I69" s="7">
        <f t="shared" si="8"/>
        <v>1.059240763</v>
      </c>
      <c r="J69" s="7">
        <f t="shared" si="9"/>
        <v>-0.01056604637</v>
      </c>
    </row>
    <row r="70">
      <c r="A70" s="4">
        <v>45555.0</v>
      </c>
      <c r="B70" s="5">
        <v>25790.95</v>
      </c>
      <c r="C70" s="8">
        <f t="shared" si="1"/>
        <v>-0.005725900044</v>
      </c>
      <c r="D70" s="8">
        <f t="shared" si="3"/>
        <v>24624.749</v>
      </c>
      <c r="E70" s="8">
        <f t="shared" si="4"/>
        <v>1</v>
      </c>
      <c r="F70" s="6">
        <f t="shared" si="5"/>
        <v>-0.005725900044</v>
      </c>
      <c r="G70" s="8">
        <f t="shared" si="6"/>
        <v>1.042064901</v>
      </c>
      <c r="H70" s="8">
        <f t="shared" si="7"/>
        <v>1.042064901</v>
      </c>
      <c r="I70" s="7">
        <f t="shared" si="8"/>
        <v>1.059240763</v>
      </c>
      <c r="J70" s="7">
        <f t="shared" si="9"/>
        <v>-0.01621525745</v>
      </c>
    </row>
    <row r="71">
      <c r="A71" s="4">
        <v>45554.0</v>
      </c>
      <c r="B71" s="5">
        <v>25415.8</v>
      </c>
      <c r="C71" s="8">
        <f t="shared" si="1"/>
        <v>-0.01465262732</v>
      </c>
      <c r="D71" s="8">
        <f t="shared" si="3"/>
        <v>24643.922</v>
      </c>
      <c r="E71" s="8">
        <f t="shared" si="4"/>
        <v>1</v>
      </c>
      <c r="F71" s="6">
        <f t="shared" si="5"/>
        <v>-0.01465262732</v>
      </c>
      <c r="G71" s="8">
        <f t="shared" si="6"/>
        <v>1.026907234</v>
      </c>
      <c r="H71" s="8">
        <f t="shared" si="7"/>
        <v>1.026907234</v>
      </c>
      <c r="I71" s="7">
        <f t="shared" si="8"/>
        <v>1.059240763</v>
      </c>
      <c r="J71" s="7">
        <f t="shared" si="9"/>
        <v>-0.03052519354</v>
      </c>
    </row>
    <row r="72">
      <c r="A72" s="4">
        <v>45553.0</v>
      </c>
      <c r="B72" s="5">
        <v>25377.55</v>
      </c>
      <c r="C72" s="8">
        <f t="shared" si="1"/>
        <v>-0.001506102954</v>
      </c>
      <c r="D72" s="8">
        <f t="shared" si="3"/>
        <v>24665.952</v>
      </c>
      <c r="E72" s="8">
        <f t="shared" si="4"/>
        <v>1</v>
      </c>
      <c r="F72" s="6">
        <f t="shared" si="5"/>
        <v>-0.001506102954</v>
      </c>
      <c r="G72" s="8">
        <f t="shared" si="6"/>
        <v>1.02536177</v>
      </c>
      <c r="H72" s="8">
        <f t="shared" si="7"/>
        <v>1.02536177</v>
      </c>
      <c r="I72" s="7">
        <f t="shared" si="8"/>
        <v>1.059240763</v>
      </c>
      <c r="J72" s="7">
        <f t="shared" si="9"/>
        <v>-0.03198422341</v>
      </c>
    </row>
    <row r="73">
      <c r="A73" s="4">
        <v>45552.0</v>
      </c>
      <c r="B73" s="5">
        <v>25418.55</v>
      </c>
      <c r="C73" s="8">
        <f t="shared" si="1"/>
        <v>0.001614297511</v>
      </c>
      <c r="D73" s="8">
        <f t="shared" si="3"/>
        <v>24691.701</v>
      </c>
      <c r="E73" s="8">
        <f t="shared" si="4"/>
        <v>1</v>
      </c>
      <c r="F73" s="6">
        <f t="shared" si="5"/>
        <v>0.001614297511</v>
      </c>
      <c r="G73" s="8">
        <f t="shared" si="6"/>
        <v>1.027018346</v>
      </c>
      <c r="H73" s="8">
        <f t="shared" si="7"/>
        <v>1.027018346</v>
      </c>
      <c r="I73" s="7">
        <f t="shared" si="8"/>
        <v>1.059240763</v>
      </c>
      <c r="J73" s="7">
        <f t="shared" si="9"/>
        <v>-0.03042029596</v>
      </c>
    </row>
    <row r="74">
      <c r="A74" s="4">
        <v>45551.0</v>
      </c>
      <c r="B74" s="5">
        <v>25383.75</v>
      </c>
      <c r="C74" s="8">
        <f t="shared" si="1"/>
        <v>-0.001370016926</v>
      </c>
      <c r="D74" s="8">
        <f t="shared" si="3"/>
        <v>24721.093</v>
      </c>
      <c r="E74" s="8">
        <f t="shared" si="4"/>
        <v>1</v>
      </c>
      <c r="F74" s="6">
        <f t="shared" si="5"/>
        <v>-0.001370016926</v>
      </c>
      <c r="G74" s="8">
        <f t="shared" si="6"/>
        <v>1.025612276</v>
      </c>
      <c r="H74" s="8">
        <f t="shared" si="7"/>
        <v>1.025612276</v>
      </c>
      <c r="I74" s="7">
        <f t="shared" si="8"/>
        <v>1.059240763</v>
      </c>
      <c r="J74" s="7">
        <f t="shared" si="9"/>
        <v>-0.03174772706</v>
      </c>
    </row>
    <row r="75">
      <c r="A75" s="4">
        <v>45548.0</v>
      </c>
      <c r="B75" s="5">
        <v>25356.5</v>
      </c>
      <c r="C75" s="8">
        <f t="shared" si="1"/>
        <v>-0.001074098083</v>
      </c>
      <c r="D75" s="8">
        <f t="shared" si="3"/>
        <v>24742.725</v>
      </c>
      <c r="E75" s="8">
        <f t="shared" si="4"/>
        <v>1</v>
      </c>
      <c r="F75" s="6">
        <f t="shared" si="5"/>
        <v>-0.001074098083</v>
      </c>
      <c r="G75" s="8">
        <f t="shared" si="6"/>
        <v>1.02451126</v>
      </c>
      <c r="H75" s="8">
        <f t="shared" si="7"/>
        <v>1.02451126</v>
      </c>
      <c r="I75" s="7">
        <f t="shared" si="8"/>
        <v>1.059240763</v>
      </c>
      <c r="J75" s="7">
        <f t="shared" si="9"/>
        <v>-0.03278716664</v>
      </c>
    </row>
    <row r="76">
      <c r="A76" s="4">
        <v>45547.0</v>
      </c>
      <c r="B76" s="5">
        <v>25388.9</v>
      </c>
      <c r="C76" s="8">
        <f t="shared" si="1"/>
        <v>0.001276963209</v>
      </c>
      <c r="D76" s="8">
        <f t="shared" si="3"/>
        <v>24766.613</v>
      </c>
      <c r="E76" s="8">
        <f t="shared" si="4"/>
        <v>1</v>
      </c>
      <c r="F76" s="6">
        <f t="shared" si="5"/>
        <v>0.001276963209</v>
      </c>
      <c r="G76" s="8">
        <f t="shared" si="6"/>
        <v>1.025820359</v>
      </c>
      <c r="H76" s="8">
        <f t="shared" si="7"/>
        <v>1.025820359</v>
      </c>
      <c r="I76" s="7">
        <f t="shared" si="8"/>
        <v>1.059240763</v>
      </c>
      <c r="J76" s="7">
        <f t="shared" si="9"/>
        <v>-0.03155128252</v>
      </c>
    </row>
    <row r="77">
      <c r="A77" s="4">
        <v>45546.0</v>
      </c>
      <c r="B77" s="5">
        <v>24918.45</v>
      </c>
      <c r="C77" s="8">
        <f t="shared" si="1"/>
        <v>-0.01870357769</v>
      </c>
      <c r="D77" s="8">
        <f t="shared" si="3"/>
        <v>24780.544</v>
      </c>
      <c r="E77" s="8">
        <f t="shared" si="4"/>
        <v>1</v>
      </c>
      <c r="F77" s="6">
        <f t="shared" si="5"/>
        <v>-0.01870357769</v>
      </c>
      <c r="G77" s="8">
        <f t="shared" si="6"/>
        <v>1.006812162</v>
      </c>
      <c r="H77" s="8">
        <f t="shared" si="7"/>
        <v>1.006812162</v>
      </c>
      <c r="I77" s="7">
        <f t="shared" si="8"/>
        <v>1.059240763</v>
      </c>
      <c r="J77" s="7">
        <f t="shared" si="9"/>
        <v>-0.04949639629</v>
      </c>
    </row>
    <row r="78">
      <c r="A78" s="4">
        <v>45545.0</v>
      </c>
      <c r="B78" s="5">
        <v>25041.1</v>
      </c>
      <c r="C78" s="8">
        <f t="shared" si="1"/>
        <v>0.004909982032</v>
      </c>
      <c r="D78" s="8">
        <f t="shared" si="3"/>
        <v>24803.221</v>
      </c>
      <c r="E78" s="8">
        <f t="shared" si="4"/>
        <v>1</v>
      </c>
      <c r="F78" s="6">
        <f t="shared" si="5"/>
        <v>0.004909982032</v>
      </c>
      <c r="G78" s="8">
        <f t="shared" si="6"/>
        <v>1.011767748</v>
      </c>
      <c r="H78" s="8">
        <f t="shared" si="7"/>
        <v>1.011767748</v>
      </c>
      <c r="I78" s="7">
        <f t="shared" si="8"/>
        <v>1.059240763</v>
      </c>
      <c r="J78" s="7">
        <f t="shared" si="9"/>
        <v>-0.04481796457</v>
      </c>
    </row>
    <row r="79">
      <c r="A79" s="9">
        <v>45544.0</v>
      </c>
      <c r="B79" s="5">
        <v>24936.4</v>
      </c>
      <c r="C79" s="8">
        <f t="shared" si="1"/>
        <v>-0.004189891578</v>
      </c>
      <c r="D79" s="8">
        <f t="shared" si="3"/>
        <v>24834.951</v>
      </c>
      <c r="E79" s="8">
        <f t="shared" si="4"/>
        <v>1</v>
      </c>
      <c r="F79" s="6">
        <f t="shared" si="5"/>
        <v>-0.004189891578</v>
      </c>
      <c r="G79" s="8">
        <f t="shared" si="6"/>
        <v>1.007537419</v>
      </c>
      <c r="H79" s="8">
        <f t="shared" si="7"/>
        <v>1.007537419</v>
      </c>
      <c r="I79" s="7">
        <f t="shared" si="8"/>
        <v>1.059240763</v>
      </c>
      <c r="J79" s="7">
        <f t="shared" si="9"/>
        <v>-0.04881170123</v>
      </c>
    </row>
    <row r="80">
      <c r="A80" s="9">
        <v>45541.0</v>
      </c>
      <c r="B80" s="5">
        <v>24852.15</v>
      </c>
      <c r="C80" s="8">
        <f t="shared" si="1"/>
        <v>-0.003384315487</v>
      </c>
      <c r="D80" s="8">
        <f t="shared" si="3"/>
        <v>24861.624</v>
      </c>
      <c r="E80" s="8">
        <f t="shared" si="4"/>
        <v>0</v>
      </c>
      <c r="F80" s="6">
        <f t="shared" si="5"/>
        <v>-0.003384315487</v>
      </c>
      <c r="G80" s="8">
        <f t="shared" si="6"/>
        <v>1.004133358</v>
      </c>
      <c r="H80" s="8">
        <f t="shared" si="7"/>
        <v>1.004133358</v>
      </c>
      <c r="I80" s="7">
        <f t="shared" si="8"/>
        <v>1.059240763</v>
      </c>
      <c r="J80" s="7">
        <f t="shared" si="9"/>
        <v>-0.0520253814</v>
      </c>
    </row>
    <row r="81">
      <c r="A81" s="9">
        <v>45540.0</v>
      </c>
      <c r="B81" s="5">
        <v>25145.1</v>
      </c>
      <c r="C81" s="8">
        <f t="shared" si="1"/>
        <v>0.01171877864</v>
      </c>
      <c r="D81" s="8">
        <f t="shared" si="3"/>
        <v>24895.45</v>
      </c>
      <c r="E81" s="8">
        <f t="shared" si="4"/>
        <v>1</v>
      </c>
      <c r="F81" s="6">
        <f t="shared" si="5"/>
        <v>0</v>
      </c>
      <c r="G81" s="8">
        <f t="shared" si="6"/>
        <v>1.004133358</v>
      </c>
      <c r="H81" s="8">
        <f t="shared" si="7"/>
        <v>1.015969794</v>
      </c>
      <c r="I81" s="7">
        <f t="shared" si="8"/>
        <v>1.059240763</v>
      </c>
      <c r="J81" s="7">
        <f t="shared" si="9"/>
        <v>-0.0520253814</v>
      </c>
    </row>
    <row r="82">
      <c r="A82" s="9">
        <v>45539.0</v>
      </c>
      <c r="B82" s="5">
        <v>25198.7</v>
      </c>
      <c r="C82" s="8">
        <f t="shared" si="1"/>
        <v>0.002129359335</v>
      </c>
      <c r="D82" s="8">
        <f t="shared" si="3"/>
        <v>24928.77</v>
      </c>
      <c r="E82" s="8">
        <f t="shared" si="4"/>
        <v>1</v>
      </c>
      <c r="F82" s="6">
        <f t="shared" si="5"/>
        <v>0.002129359335</v>
      </c>
      <c r="G82" s="8">
        <f t="shared" si="6"/>
        <v>1.006273797</v>
      </c>
      <c r="H82" s="8">
        <f t="shared" si="7"/>
        <v>1.018135463</v>
      </c>
      <c r="I82" s="7">
        <f t="shared" si="8"/>
        <v>1.059240763</v>
      </c>
      <c r="J82" s="7">
        <f t="shared" si="9"/>
        <v>-0.05000465213</v>
      </c>
    </row>
    <row r="83">
      <c r="A83" s="9">
        <v>45538.0</v>
      </c>
      <c r="B83" s="5">
        <v>25279.85</v>
      </c>
      <c r="C83" s="8">
        <f t="shared" si="1"/>
        <v>0.003215229832</v>
      </c>
      <c r="D83" s="8">
        <f t="shared" si="3"/>
        <v>24963.186</v>
      </c>
      <c r="E83" s="8">
        <f t="shared" si="4"/>
        <v>1</v>
      </c>
      <c r="F83" s="6">
        <f t="shared" si="5"/>
        <v>0.003215229832</v>
      </c>
      <c r="G83" s="8">
        <f t="shared" si="6"/>
        <v>1.009514406</v>
      </c>
      <c r="H83" s="8">
        <f t="shared" si="7"/>
        <v>1.021414271</v>
      </c>
      <c r="I83" s="7">
        <f t="shared" si="8"/>
        <v>1.059240763</v>
      </c>
      <c r="J83" s="7">
        <f t="shared" si="9"/>
        <v>-0.04694528309</v>
      </c>
    </row>
    <row r="84">
      <c r="A84" s="9">
        <v>45537.0</v>
      </c>
      <c r="B84" s="5">
        <v>25278.7</v>
      </c>
      <c r="C84" s="8">
        <f t="shared" si="1"/>
        <v>-0.00004549181099</v>
      </c>
      <c r="D84" s="8">
        <f t="shared" si="3"/>
        <v>24991.091</v>
      </c>
      <c r="E84" s="8">
        <f t="shared" si="4"/>
        <v>1</v>
      </c>
      <c r="F84" s="6">
        <f t="shared" si="5"/>
        <v>-0.00004549181099</v>
      </c>
      <c r="G84" s="8">
        <f t="shared" si="6"/>
        <v>1.009468482</v>
      </c>
      <c r="H84" s="8">
        <f t="shared" si="7"/>
        <v>1.021367806</v>
      </c>
      <c r="I84" s="7">
        <f t="shared" si="8"/>
        <v>1.059240763</v>
      </c>
      <c r="J84" s="7">
        <f t="shared" si="9"/>
        <v>-0.04698863829</v>
      </c>
    </row>
    <row r="85">
      <c r="A85" s="4">
        <v>45534.0</v>
      </c>
      <c r="B85" s="5">
        <v>25235.9</v>
      </c>
      <c r="C85" s="8">
        <f t="shared" si="1"/>
        <v>-0.001694559998</v>
      </c>
      <c r="D85" s="8">
        <f t="shared" si="3"/>
        <v>25012.983</v>
      </c>
      <c r="E85" s="8">
        <f t="shared" si="4"/>
        <v>1</v>
      </c>
      <c r="F85" s="6">
        <f t="shared" si="5"/>
        <v>-0.001694559998</v>
      </c>
      <c r="G85" s="8">
        <f t="shared" si="6"/>
        <v>1.007759326</v>
      </c>
      <c r="H85" s="8">
        <f t="shared" si="7"/>
        <v>1.019638503</v>
      </c>
      <c r="I85" s="7">
        <f t="shared" si="8"/>
        <v>1.059240763</v>
      </c>
      <c r="J85" s="7">
        <f t="shared" si="9"/>
        <v>-0.0486022057</v>
      </c>
    </row>
    <row r="86">
      <c r="A86" s="4">
        <v>45533.0</v>
      </c>
      <c r="B86" s="5">
        <v>25151.95</v>
      </c>
      <c r="C86" s="8">
        <f t="shared" si="1"/>
        <v>-0.003332155576</v>
      </c>
      <c r="D86" s="8">
        <f t="shared" si="3"/>
        <v>25033.058</v>
      </c>
      <c r="E86" s="8">
        <f t="shared" si="4"/>
        <v>1</v>
      </c>
      <c r="F86" s="6">
        <f t="shared" si="5"/>
        <v>-0.003332155576</v>
      </c>
      <c r="G86" s="8">
        <f t="shared" si="6"/>
        <v>1.004406903</v>
      </c>
      <c r="H86" s="8">
        <f t="shared" si="7"/>
        <v>1.016246563</v>
      </c>
      <c r="I86" s="7">
        <f t="shared" si="8"/>
        <v>1.059240763</v>
      </c>
      <c r="J86" s="7">
        <f t="shared" si="9"/>
        <v>-0.05176713521</v>
      </c>
    </row>
    <row r="87">
      <c r="A87" s="4">
        <v>45532.0</v>
      </c>
      <c r="B87" s="5">
        <v>25052.35</v>
      </c>
      <c r="C87" s="8">
        <f t="shared" si="1"/>
        <v>-0.003967792825</v>
      </c>
      <c r="D87" s="8">
        <f t="shared" si="3"/>
        <v>25050.118</v>
      </c>
      <c r="E87" s="8">
        <f t="shared" si="4"/>
        <v>1</v>
      </c>
      <c r="F87" s="6">
        <f t="shared" si="5"/>
        <v>-0.003967792825</v>
      </c>
      <c r="G87" s="8">
        <f t="shared" si="6"/>
        <v>1.000429521</v>
      </c>
      <c r="H87" s="8">
        <f t="shared" si="7"/>
        <v>1.012222296</v>
      </c>
      <c r="I87" s="7">
        <f t="shared" si="8"/>
        <v>1.059240763</v>
      </c>
      <c r="J87" s="7">
        <f t="shared" si="9"/>
        <v>-0.05552207244</v>
      </c>
    </row>
    <row r="88">
      <c r="A88" s="4">
        <v>45531.0</v>
      </c>
      <c r="B88" s="5">
        <v>25017.75</v>
      </c>
      <c r="C88" s="8">
        <f t="shared" si="1"/>
        <v>-0.001382062569</v>
      </c>
      <c r="D88" s="8">
        <f t="shared" si="3"/>
        <v>25060.792</v>
      </c>
      <c r="E88" s="8">
        <f t="shared" si="4"/>
        <v>0</v>
      </c>
      <c r="F88" s="6">
        <f t="shared" si="5"/>
        <v>-0.001382062569</v>
      </c>
      <c r="G88" s="8">
        <f t="shared" si="6"/>
        <v>0.9990478195</v>
      </c>
      <c r="H88" s="8">
        <f t="shared" si="7"/>
        <v>1.010824308</v>
      </c>
      <c r="I88" s="7">
        <f t="shared" si="8"/>
        <v>1.059240763</v>
      </c>
      <c r="J88" s="7">
        <f t="shared" si="9"/>
        <v>-0.05682649842</v>
      </c>
    </row>
    <row r="89">
      <c r="A89" s="4">
        <v>45530.0</v>
      </c>
      <c r="B89" s="5">
        <v>25010.6</v>
      </c>
      <c r="C89" s="8">
        <f t="shared" si="1"/>
        <v>-0.0002858379318</v>
      </c>
      <c r="D89" s="8">
        <f t="shared" si="3"/>
        <v>25076.738</v>
      </c>
      <c r="E89" s="8">
        <f t="shared" si="4"/>
        <v>0</v>
      </c>
      <c r="F89" s="6">
        <f t="shared" si="5"/>
        <v>0</v>
      </c>
      <c r="G89" s="8">
        <f t="shared" si="6"/>
        <v>0.9990478195</v>
      </c>
      <c r="H89" s="8">
        <f t="shared" si="7"/>
        <v>1.010535417</v>
      </c>
      <c r="I89" s="7">
        <f t="shared" si="8"/>
        <v>1.059240763</v>
      </c>
      <c r="J89" s="7">
        <f t="shared" si="9"/>
        <v>-0.05682649842</v>
      </c>
    </row>
    <row r="90">
      <c r="A90" s="4">
        <v>45527.0</v>
      </c>
      <c r="B90" s="5">
        <v>24823.15</v>
      </c>
      <c r="C90" s="8">
        <f t="shared" si="1"/>
        <v>-0.007523049503</v>
      </c>
      <c r="D90" s="8">
        <f t="shared" si="3"/>
        <v>25093.294</v>
      </c>
      <c r="E90" s="8">
        <f t="shared" si="4"/>
        <v>0</v>
      </c>
      <c r="F90" s="6">
        <f t="shared" si="5"/>
        <v>0</v>
      </c>
      <c r="G90" s="8">
        <f t="shared" si="6"/>
        <v>0.9990478195</v>
      </c>
      <c r="H90" s="8">
        <f t="shared" si="7"/>
        <v>1.002961634</v>
      </c>
      <c r="I90" s="7">
        <f t="shared" si="8"/>
        <v>1.059240763</v>
      </c>
      <c r="J90" s="7">
        <f t="shared" si="9"/>
        <v>-0.05682649842</v>
      </c>
    </row>
    <row r="91">
      <c r="A91" s="4">
        <v>45526.0</v>
      </c>
      <c r="B91" s="5">
        <v>24811.5</v>
      </c>
      <c r="C91" s="8">
        <f t="shared" si="1"/>
        <v>-0.0004694301346</v>
      </c>
      <c r="D91" s="8">
        <f t="shared" si="3"/>
        <v>25103.437</v>
      </c>
      <c r="E91" s="8">
        <f t="shared" si="4"/>
        <v>0</v>
      </c>
      <c r="F91" s="6">
        <f t="shared" si="5"/>
        <v>0</v>
      </c>
      <c r="G91" s="8">
        <f t="shared" si="6"/>
        <v>0.9990478195</v>
      </c>
      <c r="H91" s="8">
        <f t="shared" si="7"/>
        <v>1.002490924</v>
      </c>
      <c r="I91" s="7">
        <f t="shared" si="8"/>
        <v>1.059240763</v>
      </c>
      <c r="J91" s="7">
        <f t="shared" si="9"/>
        <v>-0.05682649842</v>
      </c>
    </row>
    <row r="92">
      <c r="A92" s="4">
        <v>45525.0</v>
      </c>
      <c r="B92" s="5">
        <v>24770.2</v>
      </c>
      <c r="C92" s="8">
        <f t="shared" si="1"/>
        <v>-0.001665937616</v>
      </c>
      <c r="D92" s="8">
        <f t="shared" si="3"/>
        <v>25114.734</v>
      </c>
      <c r="E92" s="8">
        <f t="shared" si="4"/>
        <v>0</v>
      </c>
      <c r="F92" s="6">
        <f t="shared" si="5"/>
        <v>0</v>
      </c>
      <c r="G92" s="8">
        <f t="shared" si="6"/>
        <v>0.9990478195</v>
      </c>
      <c r="H92" s="8">
        <f t="shared" si="7"/>
        <v>1.000822227</v>
      </c>
      <c r="I92" s="7">
        <f t="shared" si="8"/>
        <v>1.059240763</v>
      </c>
      <c r="J92" s="7">
        <f t="shared" si="9"/>
        <v>-0.05682649842</v>
      </c>
    </row>
    <row r="93">
      <c r="A93" s="4">
        <v>45524.0</v>
      </c>
      <c r="B93" s="5">
        <v>24698.85</v>
      </c>
      <c r="C93" s="8">
        <f t="shared" si="1"/>
        <v>-0.002884633906</v>
      </c>
      <c r="D93" s="8">
        <f t="shared" si="3"/>
        <v>25121.894</v>
      </c>
      <c r="E93" s="8">
        <f t="shared" si="4"/>
        <v>0</v>
      </c>
      <c r="F93" s="6">
        <f t="shared" si="5"/>
        <v>0</v>
      </c>
      <c r="G93" s="8">
        <f t="shared" si="6"/>
        <v>0.9990478195</v>
      </c>
      <c r="H93" s="8">
        <f t="shared" si="7"/>
        <v>0.9979393815</v>
      </c>
      <c r="I93" s="7">
        <f t="shared" si="8"/>
        <v>1.059240763</v>
      </c>
      <c r="J93" s="7">
        <f t="shared" si="9"/>
        <v>-0.05682649842</v>
      </c>
    </row>
    <row r="94">
      <c r="A94" s="4">
        <v>45523.0</v>
      </c>
      <c r="B94" s="5">
        <v>24572.65</v>
      </c>
      <c r="C94" s="8">
        <f t="shared" si="1"/>
        <v>-0.005122648021</v>
      </c>
      <c r="D94" s="8">
        <f t="shared" si="3"/>
        <v>25124.01</v>
      </c>
      <c r="E94" s="8">
        <f t="shared" si="4"/>
        <v>0</v>
      </c>
      <c r="F94" s="6">
        <f t="shared" si="5"/>
        <v>0</v>
      </c>
      <c r="G94" s="8">
        <f t="shared" si="6"/>
        <v>0.9990478195</v>
      </c>
      <c r="H94" s="8">
        <f t="shared" si="7"/>
        <v>0.9928403606</v>
      </c>
      <c r="I94" s="7">
        <f t="shared" si="8"/>
        <v>1.059240763</v>
      </c>
      <c r="J94" s="7">
        <f t="shared" si="9"/>
        <v>-0.05682649842</v>
      </c>
    </row>
    <row r="95">
      <c r="A95" s="4">
        <v>45520.0</v>
      </c>
      <c r="B95" s="5">
        <v>24541.15</v>
      </c>
      <c r="C95" s="8">
        <f t="shared" si="1"/>
        <v>-0.001282735375</v>
      </c>
      <c r="D95" s="8">
        <f t="shared" si="3"/>
        <v>25128.05</v>
      </c>
      <c r="E95" s="8">
        <f t="shared" si="4"/>
        <v>0</v>
      </c>
      <c r="F95" s="6">
        <f t="shared" si="5"/>
        <v>0</v>
      </c>
      <c r="G95" s="8">
        <f t="shared" si="6"/>
        <v>0.9990478195</v>
      </c>
      <c r="H95" s="8">
        <f t="shared" si="7"/>
        <v>0.9915676257</v>
      </c>
      <c r="I95" s="7">
        <f t="shared" si="8"/>
        <v>1.059240763</v>
      </c>
      <c r="J95" s="7">
        <f t="shared" si="9"/>
        <v>-0.05682649842</v>
      </c>
    </row>
    <row r="96">
      <c r="A96" s="4">
        <v>45518.0</v>
      </c>
      <c r="B96" s="5">
        <v>24143.75</v>
      </c>
      <c r="C96" s="8">
        <f t="shared" si="1"/>
        <v>-0.01632575302</v>
      </c>
      <c r="D96" s="8">
        <f t="shared" si="3"/>
        <v>25127.309</v>
      </c>
      <c r="E96" s="8">
        <f t="shared" si="4"/>
        <v>0</v>
      </c>
      <c r="F96" s="6">
        <f t="shared" si="5"/>
        <v>0</v>
      </c>
      <c r="G96" s="8">
        <f t="shared" si="6"/>
        <v>0.9990478195</v>
      </c>
      <c r="H96" s="8">
        <f t="shared" si="7"/>
        <v>0.9755109627</v>
      </c>
      <c r="I96" s="7">
        <f t="shared" si="8"/>
        <v>1.059240763</v>
      </c>
      <c r="J96" s="7">
        <f t="shared" si="9"/>
        <v>-0.05682649842</v>
      </c>
    </row>
    <row r="97">
      <c r="A97" s="4">
        <v>45517.0</v>
      </c>
      <c r="B97" s="5">
        <v>24139.0</v>
      </c>
      <c r="C97" s="8">
        <f t="shared" si="1"/>
        <v>-0.0001967576418</v>
      </c>
      <c r="D97" s="8">
        <f t="shared" si="3"/>
        <v>25122.101</v>
      </c>
      <c r="E97" s="8">
        <f t="shared" si="4"/>
        <v>0</v>
      </c>
      <c r="F97" s="6">
        <f t="shared" si="5"/>
        <v>0</v>
      </c>
      <c r="G97" s="8">
        <f t="shared" si="6"/>
        <v>0.9990478195</v>
      </c>
      <c r="H97" s="8">
        <f t="shared" si="7"/>
        <v>0.9753190423</v>
      </c>
      <c r="I97" s="7">
        <f t="shared" si="8"/>
        <v>1.059240763</v>
      </c>
      <c r="J97" s="7">
        <f t="shared" si="9"/>
        <v>-0.05682649842</v>
      </c>
    </row>
    <row r="98">
      <c r="A98" s="4">
        <v>45516.0</v>
      </c>
      <c r="B98" s="5">
        <v>24347.0</v>
      </c>
      <c r="C98" s="8">
        <f t="shared" si="1"/>
        <v>0.008579848862</v>
      </c>
      <c r="D98" s="8">
        <f t="shared" si="3"/>
        <v>25120.331</v>
      </c>
      <c r="E98" s="8">
        <f t="shared" si="4"/>
        <v>0</v>
      </c>
      <c r="F98" s="6">
        <f t="shared" si="5"/>
        <v>0</v>
      </c>
      <c r="G98" s="8">
        <f t="shared" si="6"/>
        <v>0.9990478195</v>
      </c>
      <c r="H98" s="8">
        <f t="shared" si="7"/>
        <v>0.9837231337</v>
      </c>
      <c r="I98" s="7">
        <f t="shared" si="8"/>
        <v>1.059240763</v>
      </c>
      <c r="J98" s="7">
        <f t="shared" si="9"/>
        <v>-0.05682649842</v>
      </c>
    </row>
    <row r="99">
      <c r="A99" s="9">
        <v>45513.0</v>
      </c>
      <c r="B99" s="5">
        <v>24367.5</v>
      </c>
      <c r="C99" s="8">
        <f t="shared" si="1"/>
        <v>0.0008416385762</v>
      </c>
      <c r="D99" s="8">
        <f t="shared" si="3"/>
        <v>25118.239</v>
      </c>
      <c r="E99" s="8">
        <f t="shared" si="4"/>
        <v>0</v>
      </c>
      <c r="F99" s="6">
        <f t="shared" si="5"/>
        <v>0</v>
      </c>
      <c r="G99" s="8">
        <f t="shared" si="6"/>
        <v>0.9990478195</v>
      </c>
      <c r="H99" s="8">
        <f t="shared" si="7"/>
        <v>0.9845514215</v>
      </c>
      <c r="I99" s="7">
        <f t="shared" si="8"/>
        <v>1.059240763</v>
      </c>
      <c r="J99" s="7">
        <f t="shared" si="9"/>
        <v>-0.05682649842</v>
      </c>
    </row>
    <row r="100">
      <c r="A100" s="9">
        <v>45512.0</v>
      </c>
      <c r="B100" s="5">
        <v>24117.0</v>
      </c>
      <c r="C100" s="8">
        <f t="shared" si="1"/>
        <v>-0.01033329122</v>
      </c>
      <c r="D100" s="8">
        <f t="shared" si="3"/>
        <v>25104.957</v>
      </c>
      <c r="E100" s="8">
        <f t="shared" si="4"/>
        <v>0</v>
      </c>
      <c r="F100" s="6">
        <f t="shared" si="5"/>
        <v>0</v>
      </c>
      <c r="G100" s="8">
        <f t="shared" si="6"/>
        <v>0.9990478195</v>
      </c>
      <c r="H100" s="8">
        <f t="shared" si="7"/>
        <v>0.9744301481</v>
      </c>
      <c r="I100" s="7">
        <f t="shared" si="8"/>
        <v>1.059240763</v>
      </c>
      <c r="J100" s="7">
        <f t="shared" si="9"/>
        <v>-0.05682649842</v>
      </c>
    </row>
    <row r="101">
      <c r="A101" s="9">
        <v>45511.0</v>
      </c>
      <c r="B101" s="5">
        <v>24297.5</v>
      </c>
      <c r="C101" s="8">
        <f t="shared" si="1"/>
        <v>0.007456478382</v>
      </c>
      <c r="D101" s="8">
        <f t="shared" si="3"/>
        <v>25093.826</v>
      </c>
      <c r="E101" s="8">
        <f t="shared" si="4"/>
        <v>0</v>
      </c>
      <c r="F101" s="6">
        <f t="shared" si="5"/>
        <v>0</v>
      </c>
      <c r="G101" s="8">
        <f t="shared" si="6"/>
        <v>0.9990478195</v>
      </c>
      <c r="H101" s="8">
        <f t="shared" si="7"/>
        <v>0.9817231216</v>
      </c>
      <c r="I101" s="7">
        <f t="shared" si="8"/>
        <v>1.059240763</v>
      </c>
      <c r="J101" s="7">
        <f t="shared" si="9"/>
        <v>-0.05682649842</v>
      </c>
    </row>
    <row r="102">
      <c r="A102" s="9">
        <v>45510.0</v>
      </c>
      <c r="B102" s="5">
        <v>23992.55</v>
      </c>
      <c r="C102" s="8">
        <f t="shared" si="1"/>
        <v>-0.0126300989</v>
      </c>
      <c r="D102" s="8">
        <f t="shared" si="3"/>
        <v>25078.68</v>
      </c>
      <c r="E102" s="8">
        <f t="shared" si="4"/>
        <v>0</v>
      </c>
      <c r="F102" s="6">
        <f t="shared" si="5"/>
        <v>0</v>
      </c>
      <c r="G102" s="8">
        <f t="shared" si="6"/>
        <v>0.9990478195</v>
      </c>
      <c r="H102" s="8">
        <f t="shared" si="7"/>
        <v>0.9694018348</v>
      </c>
      <c r="I102" s="7">
        <f t="shared" si="8"/>
        <v>1.059240763</v>
      </c>
      <c r="J102" s="7">
        <f t="shared" si="9"/>
        <v>-0.05682649842</v>
      </c>
    </row>
    <row r="103">
      <c r="A103" s="9">
        <v>45509.0</v>
      </c>
      <c r="B103" s="5">
        <v>24055.6</v>
      </c>
      <c r="C103" s="8">
        <f t="shared" si="1"/>
        <v>0.002624452188</v>
      </c>
      <c r="D103" s="8">
        <f t="shared" si="3"/>
        <v>25060.366</v>
      </c>
      <c r="E103" s="8">
        <f t="shared" si="4"/>
        <v>0</v>
      </c>
      <c r="F103" s="6">
        <f t="shared" si="5"/>
        <v>0</v>
      </c>
      <c r="G103" s="8">
        <f t="shared" si="6"/>
        <v>0.9990478195</v>
      </c>
      <c r="H103" s="8">
        <f t="shared" si="7"/>
        <v>0.9719493249</v>
      </c>
      <c r="I103" s="7">
        <f t="shared" si="8"/>
        <v>1.059240763</v>
      </c>
      <c r="J103" s="7">
        <f t="shared" si="9"/>
        <v>-0.05682649842</v>
      </c>
    </row>
    <row r="104">
      <c r="A104" s="9">
        <v>45506.0</v>
      </c>
      <c r="B104" s="5">
        <v>24717.7</v>
      </c>
      <c r="C104" s="8">
        <f t="shared" si="1"/>
        <v>0.02715176851</v>
      </c>
      <c r="D104" s="8">
        <f t="shared" si="3"/>
        <v>25053.573</v>
      </c>
      <c r="E104" s="8">
        <f t="shared" si="4"/>
        <v>0</v>
      </c>
      <c r="F104" s="6">
        <f t="shared" si="5"/>
        <v>0</v>
      </c>
      <c r="G104" s="8">
        <f t="shared" si="6"/>
        <v>0.9990478195</v>
      </c>
      <c r="H104" s="8">
        <f t="shared" si="7"/>
        <v>0.9987010022</v>
      </c>
      <c r="I104" s="7">
        <f t="shared" si="8"/>
        <v>1.059240763</v>
      </c>
      <c r="J104" s="7">
        <f t="shared" si="9"/>
        <v>-0.05682649842</v>
      </c>
    </row>
    <row r="105">
      <c r="A105" s="9">
        <v>45505.0</v>
      </c>
      <c r="B105" s="5">
        <v>25010.9</v>
      </c>
      <c r="C105" s="8">
        <f t="shared" si="1"/>
        <v>0.01179214366</v>
      </c>
      <c r="D105" s="8">
        <f t="shared" si="3"/>
        <v>25051.232</v>
      </c>
      <c r="E105" s="8">
        <f t="shared" si="4"/>
        <v>0</v>
      </c>
      <c r="F105" s="6">
        <f t="shared" si="5"/>
        <v>0</v>
      </c>
      <c r="G105" s="8">
        <f t="shared" si="6"/>
        <v>0.9990478195</v>
      </c>
      <c r="H105" s="8">
        <f t="shared" si="7"/>
        <v>1.010547539</v>
      </c>
      <c r="I105" s="7">
        <f t="shared" si="8"/>
        <v>1.059240763</v>
      </c>
      <c r="J105" s="7">
        <f t="shared" si="9"/>
        <v>-0.05682649842</v>
      </c>
    </row>
    <row r="106">
      <c r="A106" s="4">
        <v>45504.0</v>
      </c>
      <c r="B106" s="5">
        <v>24951.15</v>
      </c>
      <c r="C106" s="8">
        <f t="shared" si="1"/>
        <v>-0.002391816528</v>
      </c>
      <c r="D106" s="8">
        <f t="shared" si="3"/>
        <v>25050.97</v>
      </c>
      <c r="E106" s="8">
        <f t="shared" si="4"/>
        <v>0</v>
      </c>
      <c r="F106" s="6">
        <f t="shared" si="5"/>
        <v>0</v>
      </c>
      <c r="G106" s="8">
        <f t="shared" si="6"/>
        <v>0.9990478195</v>
      </c>
      <c r="H106" s="8">
        <f t="shared" si="7"/>
        <v>1.008133383</v>
      </c>
      <c r="I106" s="7">
        <f t="shared" si="8"/>
        <v>1.059240763</v>
      </c>
      <c r="J106" s="7">
        <f t="shared" si="9"/>
        <v>-0.05682649842</v>
      </c>
    </row>
    <row r="107">
      <c r="A107" s="4">
        <v>45503.0</v>
      </c>
      <c r="B107" s="5">
        <v>24857.3</v>
      </c>
      <c r="C107" s="8">
        <f t="shared" si="1"/>
        <v>-0.003768441341</v>
      </c>
      <c r="D107" s="8">
        <f t="shared" si="3"/>
        <v>25048.147</v>
      </c>
      <c r="E107" s="8">
        <f t="shared" si="4"/>
        <v>0</v>
      </c>
      <c r="F107" s="6">
        <f t="shared" si="5"/>
        <v>0</v>
      </c>
      <c r="G107" s="8">
        <f t="shared" si="6"/>
        <v>0.9990478195</v>
      </c>
      <c r="H107" s="8">
        <f t="shared" si="7"/>
        <v>1.00434144</v>
      </c>
      <c r="I107" s="7">
        <f t="shared" si="8"/>
        <v>1.059240763</v>
      </c>
      <c r="J107" s="7">
        <f t="shared" si="9"/>
        <v>-0.05682649842</v>
      </c>
    </row>
    <row r="108">
      <c r="A108" s="4">
        <v>45502.0</v>
      </c>
      <c r="B108" s="5">
        <v>24836.1</v>
      </c>
      <c r="C108" s="8">
        <f t="shared" si="1"/>
        <v>-0.0008532320705</v>
      </c>
      <c r="D108" s="8">
        <f t="shared" si="3"/>
        <v>25045.23</v>
      </c>
      <c r="E108" s="8">
        <f t="shared" si="4"/>
        <v>0</v>
      </c>
      <c r="F108" s="6">
        <f t="shared" si="5"/>
        <v>0</v>
      </c>
      <c r="G108" s="8">
        <f t="shared" si="6"/>
        <v>0.9990478195</v>
      </c>
      <c r="H108" s="8">
        <f t="shared" si="7"/>
        <v>1.00348487</v>
      </c>
      <c r="I108" s="7">
        <f t="shared" si="8"/>
        <v>1.059240763</v>
      </c>
      <c r="J108" s="7">
        <f t="shared" si="9"/>
        <v>-0.05682649842</v>
      </c>
    </row>
    <row r="109">
      <c r="A109" s="4">
        <v>45499.0</v>
      </c>
      <c r="B109" s="5">
        <v>24834.85</v>
      </c>
      <c r="C109" s="8">
        <f t="shared" si="1"/>
        <v>-0.00005033122983</v>
      </c>
      <c r="D109" s="8">
        <f t="shared" si="3"/>
        <v>25041.664</v>
      </c>
      <c r="E109" s="8">
        <f t="shared" si="4"/>
        <v>0</v>
      </c>
      <c r="F109" s="6">
        <f t="shared" si="5"/>
        <v>0</v>
      </c>
      <c r="G109" s="8">
        <f t="shared" si="6"/>
        <v>0.9990478195</v>
      </c>
      <c r="H109" s="8">
        <f t="shared" si="7"/>
        <v>1.003434364</v>
      </c>
      <c r="I109" s="7">
        <f t="shared" si="8"/>
        <v>1.059240763</v>
      </c>
      <c r="J109" s="7">
        <f t="shared" si="9"/>
        <v>-0.05682649842</v>
      </c>
    </row>
    <row r="110">
      <c r="A110" s="4">
        <v>45498.0</v>
      </c>
      <c r="B110" s="5">
        <v>24406.1</v>
      </c>
      <c r="C110" s="8">
        <f t="shared" si="1"/>
        <v>-0.01741480762</v>
      </c>
      <c r="D110" s="8">
        <f t="shared" si="3"/>
        <v>25033.871</v>
      </c>
      <c r="E110" s="8">
        <f t="shared" si="4"/>
        <v>0</v>
      </c>
      <c r="F110" s="6">
        <f t="shared" si="5"/>
        <v>0</v>
      </c>
      <c r="G110" s="8">
        <f t="shared" si="6"/>
        <v>0.9990478195</v>
      </c>
      <c r="H110" s="8">
        <f t="shared" si="7"/>
        <v>0.9861110269</v>
      </c>
      <c r="I110" s="7">
        <f t="shared" si="8"/>
        <v>1.059240763</v>
      </c>
      <c r="J110" s="7">
        <f t="shared" si="9"/>
        <v>-0.05682649842</v>
      </c>
    </row>
    <row r="111">
      <c r="A111" s="4">
        <v>45497.0</v>
      </c>
      <c r="B111" s="5">
        <v>24413.5</v>
      </c>
      <c r="C111" s="8">
        <f t="shared" si="1"/>
        <v>0.0003031569311</v>
      </c>
      <c r="D111" s="8">
        <f t="shared" si="3"/>
        <v>25021.849</v>
      </c>
      <c r="E111" s="8">
        <f t="shared" si="4"/>
        <v>0</v>
      </c>
      <c r="F111" s="6">
        <f t="shared" si="5"/>
        <v>0</v>
      </c>
      <c r="G111" s="8">
        <f t="shared" si="6"/>
        <v>0.9990478195</v>
      </c>
      <c r="H111" s="8">
        <f t="shared" si="7"/>
        <v>0.9864100186</v>
      </c>
      <c r="I111" s="7">
        <f t="shared" si="8"/>
        <v>1.059240763</v>
      </c>
      <c r="J111" s="7">
        <f t="shared" si="9"/>
        <v>-0.05682649842</v>
      </c>
    </row>
    <row r="112">
      <c r="A112" s="4">
        <v>45496.0</v>
      </c>
      <c r="B112" s="5">
        <v>24479.05</v>
      </c>
      <c r="C112" s="8">
        <f t="shared" si="1"/>
        <v>0.002681391716</v>
      </c>
      <c r="D112" s="8">
        <f t="shared" si="3"/>
        <v>25006.428</v>
      </c>
      <c r="E112" s="8">
        <f t="shared" si="4"/>
        <v>0</v>
      </c>
      <c r="F112" s="6">
        <f t="shared" si="5"/>
        <v>0</v>
      </c>
      <c r="G112" s="8">
        <f t="shared" si="6"/>
        <v>0.9990478195</v>
      </c>
      <c r="H112" s="8">
        <f t="shared" si="7"/>
        <v>0.9890585195</v>
      </c>
      <c r="I112" s="7">
        <f t="shared" si="8"/>
        <v>1.059240763</v>
      </c>
      <c r="J112" s="7">
        <f t="shared" si="9"/>
        <v>-0.05682649842</v>
      </c>
    </row>
    <row r="113">
      <c r="A113" s="4">
        <v>45495.0</v>
      </c>
      <c r="B113" s="5">
        <v>24509.25</v>
      </c>
      <c r="C113" s="8">
        <f t="shared" si="1"/>
        <v>0.001232947615</v>
      </c>
      <c r="D113" s="8">
        <f t="shared" si="3"/>
        <v>24980.675</v>
      </c>
      <c r="E113" s="8">
        <f t="shared" si="4"/>
        <v>0</v>
      </c>
      <c r="F113" s="6">
        <f t="shared" si="5"/>
        <v>0</v>
      </c>
      <c r="G113" s="8">
        <f t="shared" si="6"/>
        <v>0.9990478195</v>
      </c>
      <c r="H113" s="8">
        <f t="shared" si="7"/>
        <v>0.990278729</v>
      </c>
      <c r="I113" s="7">
        <f t="shared" si="8"/>
        <v>1.059240763</v>
      </c>
      <c r="J113" s="7">
        <f t="shared" si="9"/>
        <v>-0.05682649842</v>
      </c>
    </row>
    <row r="114">
      <c r="A114" s="4">
        <v>45492.0</v>
      </c>
      <c r="B114" s="5">
        <v>24530.9</v>
      </c>
      <c r="C114" s="8">
        <f t="shared" si="1"/>
        <v>0.0008829500483</v>
      </c>
      <c r="D114" s="8">
        <f t="shared" si="3"/>
        <v>24955.076</v>
      </c>
      <c r="E114" s="8">
        <f t="shared" si="4"/>
        <v>0</v>
      </c>
      <c r="F114" s="6">
        <f t="shared" si="5"/>
        <v>0</v>
      </c>
      <c r="G114" s="8">
        <f t="shared" si="6"/>
        <v>0.9990478195</v>
      </c>
      <c r="H114" s="8">
        <f t="shared" si="7"/>
        <v>0.9911534817</v>
      </c>
      <c r="I114" s="7">
        <f t="shared" si="8"/>
        <v>1.059240763</v>
      </c>
      <c r="J114" s="7">
        <f t="shared" si="9"/>
        <v>-0.05682649842</v>
      </c>
    </row>
    <row r="115">
      <c r="A115" s="4">
        <v>45491.0</v>
      </c>
      <c r="B115" s="5">
        <v>24800.85</v>
      </c>
      <c r="C115" s="8">
        <f t="shared" si="1"/>
        <v>0.01094437941</v>
      </c>
      <c r="D115" s="8">
        <f t="shared" si="3"/>
        <v>24927.514</v>
      </c>
      <c r="E115" s="8">
        <f t="shared" si="4"/>
        <v>0</v>
      </c>
      <c r="F115" s="6">
        <f t="shared" si="5"/>
        <v>0</v>
      </c>
      <c r="G115" s="8">
        <f t="shared" si="6"/>
        <v>0.9990478195</v>
      </c>
      <c r="H115" s="8">
        <f t="shared" si="7"/>
        <v>1.002060619</v>
      </c>
      <c r="I115" s="7">
        <f t="shared" si="8"/>
        <v>1.059240763</v>
      </c>
      <c r="J115" s="7">
        <f t="shared" si="9"/>
        <v>-0.05682649842</v>
      </c>
    </row>
    <row r="116">
      <c r="A116" s="4">
        <v>45489.0</v>
      </c>
      <c r="B116" s="5">
        <v>24613.0</v>
      </c>
      <c r="C116" s="8">
        <f t="shared" si="1"/>
        <v>-0.007603168138</v>
      </c>
      <c r="D116" s="8">
        <f t="shared" si="3"/>
        <v>24895.453</v>
      </c>
      <c r="E116" s="8">
        <f t="shared" si="4"/>
        <v>0</v>
      </c>
      <c r="F116" s="6">
        <f t="shared" si="5"/>
        <v>0</v>
      </c>
      <c r="G116" s="8">
        <f t="shared" si="6"/>
        <v>0.9990478195</v>
      </c>
      <c r="H116" s="8">
        <f t="shared" si="7"/>
        <v>0.9944706736</v>
      </c>
      <c r="I116" s="7">
        <f t="shared" si="8"/>
        <v>1.059240763</v>
      </c>
      <c r="J116" s="7">
        <f t="shared" si="9"/>
        <v>-0.05682649842</v>
      </c>
    </row>
    <row r="117">
      <c r="A117" s="4">
        <v>45488.0</v>
      </c>
      <c r="B117" s="5">
        <v>24586.7</v>
      </c>
      <c r="C117" s="8">
        <f t="shared" si="1"/>
        <v>-0.001069112312</v>
      </c>
      <c r="D117" s="8">
        <f t="shared" si="3"/>
        <v>24867.104</v>
      </c>
      <c r="E117" s="8">
        <f t="shared" si="4"/>
        <v>0</v>
      </c>
      <c r="F117" s="6">
        <f t="shared" si="5"/>
        <v>0</v>
      </c>
      <c r="G117" s="8">
        <f t="shared" si="6"/>
        <v>0.9990478195</v>
      </c>
      <c r="H117" s="8">
        <f t="shared" si="7"/>
        <v>0.9934080409</v>
      </c>
      <c r="I117" s="7">
        <f t="shared" si="8"/>
        <v>1.059240763</v>
      </c>
      <c r="J117" s="7">
        <f t="shared" si="9"/>
        <v>-0.05682649842</v>
      </c>
    </row>
    <row r="118">
      <c r="A118" s="4">
        <v>45485.0</v>
      </c>
      <c r="B118" s="5">
        <v>24502.15</v>
      </c>
      <c r="C118" s="8">
        <f t="shared" si="1"/>
        <v>-0.003444777525</v>
      </c>
      <c r="D118" s="8">
        <f t="shared" si="3"/>
        <v>24838.339</v>
      </c>
      <c r="E118" s="8">
        <f t="shared" si="4"/>
        <v>0</v>
      </c>
      <c r="F118" s="6">
        <f t="shared" si="5"/>
        <v>0</v>
      </c>
      <c r="G118" s="8">
        <f t="shared" si="6"/>
        <v>0.9990478195</v>
      </c>
      <c r="H118" s="8">
        <f t="shared" si="7"/>
        <v>0.9899918585</v>
      </c>
      <c r="I118" s="7">
        <f t="shared" si="8"/>
        <v>1.059240763</v>
      </c>
      <c r="J118" s="7">
        <f t="shared" si="9"/>
        <v>-0.05682649842</v>
      </c>
    </row>
    <row r="119">
      <c r="A119" s="4">
        <v>45484.0</v>
      </c>
      <c r="B119" s="5">
        <v>24315.95</v>
      </c>
      <c r="C119" s="8">
        <f t="shared" si="1"/>
        <v>-0.007628355177</v>
      </c>
      <c r="D119" s="8">
        <f t="shared" si="3"/>
        <v>24805.877</v>
      </c>
      <c r="E119" s="8">
        <f t="shared" si="4"/>
        <v>0</v>
      </c>
      <c r="F119" s="6">
        <f t="shared" si="5"/>
        <v>0</v>
      </c>
      <c r="G119" s="8">
        <f t="shared" si="6"/>
        <v>0.9990478195</v>
      </c>
      <c r="H119" s="8">
        <f t="shared" si="7"/>
        <v>0.9824685806</v>
      </c>
      <c r="I119" s="7">
        <f t="shared" si="8"/>
        <v>1.059240763</v>
      </c>
      <c r="J119" s="7">
        <f t="shared" si="9"/>
        <v>-0.05682649842</v>
      </c>
    </row>
    <row r="120">
      <c r="A120" s="4">
        <v>45483.0</v>
      </c>
      <c r="B120" s="5">
        <v>24324.45</v>
      </c>
      <c r="C120" s="8">
        <f t="shared" si="1"/>
        <v>0.0003495037083</v>
      </c>
      <c r="D120" s="8">
        <f t="shared" si="3"/>
        <v>24776.547</v>
      </c>
      <c r="E120" s="8">
        <f t="shared" si="4"/>
        <v>0</v>
      </c>
      <c r="F120" s="6">
        <f t="shared" si="5"/>
        <v>0</v>
      </c>
      <c r="G120" s="8">
        <f t="shared" si="6"/>
        <v>0.9990478195</v>
      </c>
      <c r="H120" s="8">
        <f t="shared" si="7"/>
        <v>0.982812017</v>
      </c>
      <c r="I120" s="7">
        <f t="shared" si="8"/>
        <v>1.059240763</v>
      </c>
      <c r="J120" s="7">
        <f t="shared" si="9"/>
        <v>-0.05682649842</v>
      </c>
    </row>
    <row r="121">
      <c r="A121" s="9">
        <v>45482.0</v>
      </c>
      <c r="B121" s="5">
        <v>24433.2</v>
      </c>
      <c r="C121" s="8">
        <f t="shared" si="1"/>
        <v>0.00446084585</v>
      </c>
      <c r="D121" s="8">
        <f t="shared" si="3"/>
        <v>24756.895</v>
      </c>
      <c r="E121" s="8">
        <f t="shared" si="4"/>
        <v>0</v>
      </c>
      <c r="F121" s="6">
        <f t="shared" si="5"/>
        <v>0</v>
      </c>
      <c r="G121" s="8">
        <f t="shared" si="6"/>
        <v>0.9990478195</v>
      </c>
      <c r="H121" s="8">
        <f t="shared" si="7"/>
        <v>0.9872059831</v>
      </c>
      <c r="I121" s="7">
        <f t="shared" si="8"/>
        <v>1.059240763</v>
      </c>
      <c r="J121" s="7">
        <f t="shared" si="9"/>
        <v>-0.05682649842</v>
      </c>
    </row>
    <row r="122">
      <c r="A122" s="9">
        <v>45481.0</v>
      </c>
      <c r="B122" s="5">
        <v>24320.55</v>
      </c>
      <c r="C122" s="8">
        <f t="shared" si="1"/>
        <v>-0.00462119121</v>
      </c>
      <c r="D122" s="8">
        <f t="shared" si="3"/>
        <v>24735.755</v>
      </c>
      <c r="E122" s="8">
        <f t="shared" si="4"/>
        <v>0</v>
      </c>
      <c r="F122" s="6">
        <f t="shared" si="5"/>
        <v>0</v>
      </c>
      <c r="G122" s="8">
        <f t="shared" si="6"/>
        <v>0.9990478195</v>
      </c>
      <c r="H122" s="8">
        <f t="shared" si="7"/>
        <v>0.9826544403</v>
      </c>
      <c r="I122" s="7">
        <f t="shared" si="8"/>
        <v>1.059240763</v>
      </c>
      <c r="J122" s="7">
        <f t="shared" si="9"/>
        <v>-0.05682649842</v>
      </c>
    </row>
    <row r="123">
      <c r="A123" s="9">
        <v>45478.0</v>
      </c>
      <c r="B123" s="5">
        <v>24323.85</v>
      </c>
      <c r="C123" s="8">
        <f t="shared" si="1"/>
        <v>0.0001356785161</v>
      </c>
      <c r="D123" s="8">
        <f t="shared" si="3"/>
        <v>24713.861</v>
      </c>
      <c r="E123" s="8">
        <f t="shared" si="4"/>
        <v>0</v>
      </c>
      <c r="F123" s="6">
        <f t="shared" si="5"/>
        <v>0</v>
      </c>
      <c r="G123" s="8">
        <f t="shared" si="6"/>
        <v>0.9990478195</v>
      </c>
      <c r="H123" s="8">
        <f t="shared" si="7"/>
        <v>0.9827877745</v>
      </c>
      <c r="I123" s="7">
        <f t="shared" si="8"/>
        <v>1.059240763</v>
      </c>
      <c r="J123" s="7">
        <f t="shared" si="9"/>
        <v>-0.05682649842</v>
      </c>
    </row>
    <row r="124">
      <c r="A124" s="9">
        <v>45477.0</v>
      </c>
      <c r="B124" s="5">
        <v>24302.15</v>
      </c>
      <c r="C124" s="8">
        <f t="shared" si="1"/>
        <v>-0.0008925266911</v>
      </c>
      <c r="D124" s="8">
        <f t="shared" si="3"/>
        <v>24692.229</v>
      </c>
      <c r="E124" s="8">
        <f t="shared" si="4"/>
        <v>0</v>
      </c>
      <c r="F124" s="6">
        <f t="shared" si="5"/>
        <v>0</v>
      </c>
      <c r="G124" s="8">
        <f t="shared" si="6"/>
        <v>0.9990478195</v>
      </c>
      <c r="H124" s="8">
        <f t="shared" si="7"/>
        <v>0.9819110015</v>
      </c>
      <c r="I124" s="7">
        <f t="shared" si="8"/>
        <v>1.059240763</v>
      </c>
      <c r="J124" s="7">
        <f t="shared" si="9"/>
        <v>-0.05682649842</v>
      </c>
    </row>
    <row r="125">
      <c r="A125" s="9">
        <v>45476.0</v>
      </c>
      <c r="B125" s="5">
        <v>24286.5</v>
      </c>
      <c r="C125" s="8">
        <f t="shared" si="1"/>
        <v>-0.0006441833861</v>
      </c>
      <c r="D125" s="8">
        <f t="shared" si="3"/>
        <v>24670.829</v>
      </c>
      <c r="E125" s="8">
        <f t="shared" si="4"/>
        <v>0</v>
      </c>
      <c r="F125" s="6">
        <f t="shared" si="5"/>
        <v>0</v>
      </c>
      <c r="G125" s="8">
        <f t="shared" si="6"/>
        <v>0.9990478195</v>
      </c>
      <c r="H125" s="8">
        <f t="shared" si="7"/>
        <v>0.9812786744</v>
      </c>
      <c r="I125" s="7">
        <f t="shared" si="8"/>
        <v>1.059240763</v>
      </c>
      <c r="J125" s="7">
        <f t="shared" si="9"/>
        <v>-0.05682649842</v>
      </c>
    </row>
    <row r="126">
      <c r="A126" s="9">
        <v>45475.0</v>
      </c>
      <c r="B126" s="5">
        <v>24123.85</v>
      </c>
      <c r="C126" s="8">
        <f t="shared" si="1"/>
        <v>-0.006719662718</v>
      </c>
      <c r="D126" s="8">
        <f t="shared" si="3"/>
        <v>24645.528</v>
      </c>
      <c r="E126" s="8">
        <f t="shared" si="4"/>
        <v>0</v>
      </c>
      <c r="F126" s="6">
        <f t="shared" si="5"/>
        <v>0</v>
      </c>
      <c r="G126" s="8">
        <f t="shared" si="6"/>
        <v>0.9990478195</v>
      </c>
      <c r="H126" s="8">
        <f t="shared" si="7"/>
        <v>0.9747069174</v>
      </c>
      <c r="I126" s="7">
        <f t="shared" si="8"/>
        <v>1.059240763</v>
      </c>
      <c r="J126" s="7">
        <f t="shared" si="9"/>
        <v>-0.05682649842</v>
      </c>
    </row>
    <row r="127">
      <c r="A127" s="9">
        <v>45474.0</v>
      </c>
      <c r="B127" s="5">
        <v>24141.95</v>
      </c>
      <c r="C127" s="8">
        <f t="shared" si="1"/>
        <v>0.0007500135023</v>
      </c>
      <c r="D127" s="8">
        <f t="shared" si="3"/>
        <v>24629.998</v>
      </c>
      <c r="E127" s="8">
        <f t="shared" si="4"/>
        <v>0</v>
      </c>
      <c r="F127" s="6">
        <f t="shared" si="5"/>
        <v>0</v>
      </c>
      <c r="G127" s="8">
        <f t="shared" si="6"/>
        <v>0.9990478195</v>
      </c>
      <c r="H127" s="8">
        <f t="shared" si="7"/>
        <v>0.975438235</v>
      </c>
      <c r="I127" s="7">
        <f t="shared" si="8"/>
        <v>1.059240763</v>
      </c>
      <c r="J127" s="7">
        <f t="shared" si="9"/>
        <v>-0.05682649842</v>
      </c>
    </row>
    <row r="128">
      <c r="A128" s="4">
        <v>45471.0</v>
      </c>
      <c r="B128" s="5">
        <v>24010.6</v>
      </c>
      <c r="C128" s="8">
        <f t="shared" si="1"/>
        <v>-0.005455591689</v>
      </c>
      <c r="D128" s="8">
        <f t="shared" si="3"/>
        <v>24609.388</v>
      </c>
      <c r="E128" s="8">
        <f t="shared" si="4"/>
        <v>0</v>
      </c>
      <c r="F128" s="6">
        <f t="shared" si="5"/>
        <v>0</v>
      </c>
      <c r="G128" s="8">
        <f t="shared" si="6"/>
        <v>0.9990478195</v>
      </c>
      <c r="H128" s="8">
        <f t="shared" si="7"/>
        <v>0.9701311321</v>
      </c>
      <c r="I128" s="7">
        <f t="shared" si="8"/>
        <v>1.059240763</v>
      </c>
      <c r="J128" s="7">
        <f t="shared" si="9"/>
        <v>-0.05682649842</v>
      </c>
    </row>
    <row r="129">
      <c r="A129" s="4">
        <v>45470.0</v>
      </c>
      <c r="B129" s="5">
        <v>24044.5</v>
      </c>
      <c r="C129" s="8">
        <f t="shared" si="1"/>
        <v>0.001410880661</v>
      </c>
      <c r="D129" s="8">
        <f t="shared" si="3"/>
        <v>24591.55</v>
      </c>
      <c r="E129" s="8">
        <f t="shared" si="4"/>
        <v>0</v>
      </c>
      <c r="F129" s="6">
        <f t="shared" si="5"/>
        <v>0</v>
      </c>
      <c r="G129" s="8">
        <f t="shared" si="6"/>
        <v>0.9990478195</v>
      </c>
      <c r="H129" s="8">
        <f t="shared" si="7"/>
        <v>0.9715008374</v>
      </c>
      <c r="I129" s="7">
        <f t="shared" si="8"/>
        <v>1.059240763</v>
      </c>
      <c r="J129" s="7">
        <f t="shared" si="9"/>
        <v>-0.05682649842</v>
      </c>
    </row>
    <row r="130">
      <c r="A130" s="4">
        <v>45469.0</v>
      </c>
      <c r="B130" s="5">
        <v>23868.8</v>
      </c>
      <c r="C130" s="8">
        <f t="shared" si="1"/>
        <v>-0.007334113391</v>
      </c>
      <c r="D130" s="8">
        <f t="shared" si="3"/>
        <v>24571.883</v>
      </c>
      <c r="E130" s="8">
        <f t="shared" si="4"/>
        <v>0</v>
      </c>
      <c r="F130" s="6">
        <f t="shared" si="5"/>
        <v>0</v>
      </c>
      <c r="G130" s="8">
        <f t="shared" si="6"/>
        <v>0.9990478195</v>
      </c>
      <c r="H130" s="8">
        <f t="shared" si="7"/>
        <v>0.9644018045</v>
      </c>
      <c r="I130" s="7">
        <f t="shared" si="8"/>
        <v>1.059240763</v>
      </c>
      <c r="J130" s="7">
        <f t="shared" si="9"/>
        <v>-0.05682649842</v>
      </c>
    </row>
    <row r="131">
      <c r="A131" s="4">
        <v>45468.0</v>
      </c>
      <c r="B131" s="5">
        <v>23721.3</v>
      </c>
      <c r="C131" s="8">
        <f t="shared" si="1"/>
        <v>-0.00619878808</v>
      </c>
      <c r="D131" s="8">
        <f t="shared" si="3"/>
        <v>24543.407</v>
      </c>
      <c r="E131" s="8">
        <f t="shared" si="4"/>
        <v>0</v>
      </c>
      <c r="F131" s="6">
        <f t="shared" si="5"/>
        <v>0</v>
      </c>
      <c r="G131" s="8">
        <f t="shared" si="6"/>
        <v>0.9990478195</v>
      </c>
      <c r="H131" s="8">
        <f t="shared" si="7"/>
        <v>0.9584421724</v>
      </c>
      <c r="I131" s="7">
        <f t="shared" si="8"/>
        <v>1.059240763</v>
      </c>
      <c r="J131" s="7">
        <f t="shared" si="9"/>
        <v>-0.05682649842</v>
      </c>
    </row>
    <row r="132">
      <c r="A132" s="4">
        <v>45467.0</v>
      </c>
      <c r="B132" s="5">
        <v>23537.85</v>
      </c>
      <c r="C132" s="8">
        <f t="shared" si="1"/>
        <v>-0.007763614937</v>
      </c>
      <c r="D132" s="8">
        <f t="shared" si="3"/>
        <v>24510.19</v>
      </c>
      <c r="E132" s="8">
        <f t="shared" si="4"/>
        <v>0</v>
      </c>
      <c r="F132" s="6">
        <f t="shared" si="5"/>
        <v>0</v>
      </c>
      <c r="G132" s="8">
        <f t="shared" si="6"/>
        <v>0.9990478195</v>
      </c>
      <c r="H132" s="8">
        <f t="shared" si="7"/>
        <v>0.9510300062</v>
      </c>
      <c r="I132" s="7">
        <f t="shared" si="8"/>
        <v>1.059240763</v>
      </c>
      <c r="J132" s="7">
        <f t="shared" si="9"/>
        <v>-0.05682649842</v>
      </c>
    </row>
    <row r="133">
      <c r="A133" s="4">
        <v>45464.0</v>
      </c>
      <c r="B133" s="5">
        <v>23501.1</v>
      </c>
      <c r="C133" s="8">
        <f t="shared" si="1"/>
        <v>-0.001562535196</v>
      </c>
      <c r="D133" s="8">
        <f t="shared" si="3"/>
        <v>24474.615</v>
      </c>
      <c r="E133" s="8">
        <f t="shared" si="4"/>
        <v>0</v>
      </c>
      <c r="F133" s="6">
        <f t="shared" si="5"/>
        <v>0</v>
      </c>
      <c r="G133" s="8">
        <f t="shared" si="6"/>
        <v>0.9990478195</v>
      </c>
      <c r="H133" s="8">
        <f t="shared" si="7"/>
        <v>0.9495451488</v>
      </c>
      <c r="I133" s="7">
        <f t="shared" si="8"/>
        <v>1.059240763</v>
      </c>
      <c r="J133" s="7">
        <f t="shared" si="9"/>
        <v>-0.05682649842</v>
      </c>
    </row>
    <row r="134">
      <c r="A134" s="4">
        <v>45463.0</v>
      </c>
      <c r="B134" s="5">
        <v>23567.0</v>
      </c>
      <c r="C134" s="8">
        <f t="shared" si="1"/>
        <v>0.002800199841</v>
      </c>
      <c r="D134" s="8">
        <f t="shared" si="3"/>
        <v>24440.381</v>
      </c>
      <c r="E134" s="8">
        <f t="shared" si="4"/>
        <v>0</v>
      </c>
      <c r="F134" s="6">
        <f t="shared" si="5"/>
        <v>0</v>
      </c>
      <c r="G134" s="8">
        <f t="shared" si="6"/>
        <v>0.9990478195</v>
      </c>
      <c r="H134" s="8">
        <f t="shared" si="7"/>
        <v>0.9522077912</v>
      </c>
      <c r="I134" s="7">
        <f t="shared" si="8"/>
        <v>1.059240763</v>
      </c>
      <c r="J134" s="7">
        <f t="shared" si="9"/>
        <v>-0.05682649842</v>
      </c>
    </row>
    <row r="135">
      <c r="A135" s="4">
        <v>45462.0</v>
      </c>
      <c r="B135" s="5">
        <v>23516.0</v>
      </c>
      <c r="C135" s="8">
        <f t="shared" si="1"/>
        <v>-0.002166387866</v>
      </c>
      <c r="D135" s="8">
        <f t="shared" si="3"/>
        <v>24405.983</v>
      </c>
      <c r="E135" s="8">
        <f t="shared" si="4"/>
        <v>0</v>
      </c>
      <c r="F135" s="6">
        <f t="shared" si="5"/>
        <v>0</v>
      </c>
      <c r="G135" s="8">
        <f t="shared" si="6"/>
        <v>0.9990478195</v>
      </c>
      <c r="H135" s="8">
        <f t="shared" si="7"/>
        <v>0.9501471726</v>
      </c>
      <c r="I135" s="7">
        <f t="shared" si="8"/>
        <v>1.059240763</v>
      </c>
      <c r="J135" s="7">
        <f t="shared" si="9"/>
        <v>-0.05682649842</v>
      </c>
    </row>
    <row r="136">
      <c r="A136" s="4">
        <v>45461.0</v>
      </c>
      <c r="B136" s="5">
        <v>23557.9</v>
      </c>
      <c r="C136" s="8">
        <f t="shared" si="1"/>
        <v>0.001780180145</v>
      </c>
      <c r="D136" s="8">
        <f t="shared" si="3"/>
        <v>24374.102</v>
      </c>
      <c r="E136" s="8">
        <f t="shared" si="4"/>
        <v>0</v>
      </c>
      <c r="F136" s="6">
        <f t="shared" si="5"/>
        <v>0</v>
      </c>
      <c r="G136" s="8">
        <f t="shared" si="6"/>
        <v>0.9990478195</v>
      </c>
      <c r="H136" s="8">
        <f t="shared" si="7"/>
        <v>0.9518401122</v>
      </c>
      <c r="I136" s="7">
        <f t="shared" si="8"/>
        <v>1.059240763</v>
      </c>
      <c r="J136" s="7">
        <f t="shared" si="9"/>
        <v>-0.05682649842</v>
      </c>
    </row>
    <row r="137">
      <c r="A137" s="4">
        <v>45457.0</v>
      </c>
      <c r="B137" s="5">
        <v>23465.6</v>
      </c>
      <c r="C137" s="8">
        <f t="shared" si="1"/>
        <v>-0.003925701768</v>
      </c>
      <c r="D137" s="8">
        <f t="shared" si="3"/>
        <v>24342.367</v>
      </c>
      <c r="E137" s="8">
        <f t="shared" si="4"/>
        <v>0</v>
      </c>
      <c r="F137" s="6">
        <f t="shared" si="5"/>
        <v>0</v>
      </c>
      <c r="G137" s="8">
        <f t="shared" si="6"/>
        <v>0.9990478195</v>
      </c>
      <c r="H137" s="8">
        <f t="shared" si="7"/>
        <v>0.9481107966</v>
      </c>
      <c r="I137" s="7">
        <f t="shared" si="8"/>
        <v>1.059240763</v>
      </c>
      <c r="J137" s="7">
        <f t="shared" si="9"/>
        <v>-0.05682649842</v>
      </c>
    </row>
    <row r="138">
      <c r="A138" s="4">
        <v>45456.0</v>
      </c>
      <c r="B138" s="5">
        <v>23398.9</v>
      </c>
      <c r="C138" s="8">
        <f t="shared" si="1"/>
        <v>-0.002846506206</v>
      </c>
      <c r="D138" s="8">
        <f t="shared" si="3"/>
        <v>24309.99</v>
      </c>
      <c r="E138" s="8">
        <f t="shared" si="4"/>
        <v>0</v>
      </c>
      <c r="F138" s="6">
        <f t="shared" si="5"/>
        <v>0</v>
      </c>
      <c r="G138" s="8">
        <f t="shared" si="6"/>
        <v>0.9990478195</v>
      </c>
      <c r="H138" s="8">
        <f t="shared" si="7"/>
        <v>0.9454158308</v>
      </c>
      <c r="I138" s="7">
        <f t="shared" si="8"/>
        <v>1.059240763</v>
      </c>
      <c r="J138" s="7">
        <f t="shared" si="9"/>
        <v>-0.05682649842</v>
      </c>
    </row>
    <row r="139">
      <c r="A139" s="4">
        <v>45455.0</v>
      </c>
      <c r="B139" s="5">
        <v>23322.95</v>
      </c>
      <c r="C139" s="8">
        <f t="shared" si="1"/>
        <v>-0.003251158372</v>
      </c>
      <c r="D139" s="8">
        <f t="shared" si="3"/>
        <v>24276.237</v>
      </c>
      <c r="E139" s="8">
        <f t="shared" si="4"/>
        <v>0</v>
      </c>
      <c r="F139" s="6">
        <f t="shared" si="5"/>
        <v>0</v>
      </c>
      <c r="G139" s="8">
        <f t="shared" si="6"/>
        <v>0.9990478195</v>
      </c>
      <c r="H139" s="8">
        <f t="shared" si="7"/>
        <v>0.9423471253</v>
      </c>
      <c r="I139" s="7">
        <f t="shared" si="8"/>
        <v>1.059240763</v>
      </c>
      <c r="J139" s="7">
        <f t="shared" si="9"/>
        <v>-0.05682649842</v>
      </c>
    </row>
    <row r="140">
      <c r="A140" s="4">
        <v>45454.0</v>
      </c>
      <c r="B140" s="5">
        <v>23264.85</v>
      </c>
      <c r="C140" s="8">
        <f t="shared" si="1"/>
        <v>-0.002494216517</v>
      </c>
      <c r="D140" s="8">
        <f t="shared" si="3"/>
        <v>24245.071</v>
      </c>
      <c r="E140" s="8">
        <f t="shared" si="4"/>
        <v>0</v>
      </c>
      <c r="F140" s="6">
        <f t="shared" si="5"/>
        <v>0</v>
      </c>
      <c r="G140" s="8">
        <f t="shared" si="6"/>
        <v>0.9990478195</v>
      </c>
      <c r="H140" s="8">
        <f t="shared" si="7"/>
        <v>0.9399996364</v>
      </c>
      <c r="I140" s="7">
        <f t="shared" si="8"/>
        <v>1.059240763</v>
      </c>
      <c r="J140" s="7">
        <f t="shared" si="9"/>
        <v>-0.05682649842</v>
      </c>
    </row>
    <row r="141">
      <c r="A141" s="4">
        <v>45453.0</v>
      </c>
      <c r="B141" s="5">
        <v>23259.2</v>
      </c>
      <c r="C141" s="8">
        <f t="shared" si="1"/>
        <v>-0.0002428851326</v>
      </c>
      <c r="D141" s="8">
        <f t="shared" si="3"/>
        <v>24214.025</v>
      </c>
      <c r="E141" s="8">
        <f t="shared" si="4"/>
        <v>0</v>
      </c>
      <c r="F141" s="6">
        <f t="shared" si="5"/>
        <v>0</v>
      </c>
      <c r="G141" s="8">
        <f t="shared" si="6"/>
        <v>0.9990478195</v>
      </c>
      <c r="H141" s="8">
        <f t="shared" si="7"/>
        <v>0.9397713521</v>
      </c>
      <c r="I141" s="7">
        <f t="shared" si="8"/>
        <v>1.059240763</v>
      </c>
      <c r="J141" s="7">
        <f t="shared" si="9"/>
        <v>-0.05682649842</v>
      </c>
    </row>
    <row r="142">
      <c r="A142" s="9">
        <v>45450.0</v>
      </c>
      <c r="B142" s="5">
        <v>23290.15</v>
      </c>
      <c r="C142" s="8">
        <f t="shared" si="1"/>
        <v>0.001329771718</v>
      </c>
      <c r="D142" s="8">
        <f t="shared" si="3"/>
        <v>24184.424</v>
      </c>
      <c r="E142" s="8">
        <f t="shared" si="4"/>
        <v>0</v>
      </c>
      <c r="F142" s="6">
        <f t="shared" si="5"/>
        <v>0</v>
      </c>
      <c r="G142" s="8">
        <f t="shared" si="6"/>
        <v>0.9990478195</v>
      </c>
      <c r="H142" s="8">
        <f t="shared" si="7"/>
        <v>0.9410218648</v>
      </c>
      <c r="I142" s="7">
        <f t="shared" si="8"/>
        <v>1.059240763</v>
      </c>
      <c r="J142" s="7">
        <f t="shared" si="9"/>
        <v>-0.05682649842</v>
      </c>
    </row>
    <row r="143">
      <c r="A143" s="9">
        <v>45449.0</v>
      </c>
      <c r="B143" s="5">
        <v>22821.4</v>
      </c>
      <c r="C143" s="8">
        <f t="shared" si="1"/>
        <v>-0.02033183216</v>
      </c>
      <c r="D143" s="8">
        <f t="shared" si="3"/>
        <v>24146.875</v>
      </c>
      <c r="E143" s="8">
        <f t="shared" si="4"/>
        <v>0</v>
      </c>
      <c r="F143" s="6">
        <f t="shared" si="5"/>
        <v>0</v>
      </c>
      <c r="G143" s="8">
        <f t="shared" si="6"/>
        <v>0.9990478195</v>
      </c>
      <c r="H143" s="8">
        <f t="shared" si="7"/>
        <v>0.9220823561</v>
      </c>
      <c r="I143" s="7">
        <f t="shared" si="8"/>
        <v>1.059240763</v>
      </c>
      <c r="J143" s="7">
        <f t="shared" si="9"/>
        <v>-0.05682649842</v>
      </c>
    </row>
    <row r="144">
      <c r="A144" s="9">
        <v>45448.0</v>
      </c>
      <c r="B144" s="5">
        <v>22620.35</v>
      </c>
      <c r="C144" s="8">
        <f t="shared" si="1"/>
        <v>-0.008848748644</v>
      </c>
      <c r="D144" s="8">
        <f t="shared" si="3"/>
        <v>24107.829</v>
      </c>
      <c r="E144" s="8">
        <f t="shared" si="4"/>
        <v>0</v>
      </c>
      <c r="F144" s="6">
        <f t="shared" si="5"/>
        <v>0</v>
      </c>
      <c r="G144" s="8">
        <f t="shared" si="6"/>
        <v>0.9990478195</v>
      </c>
      <c r="H144" s="8">
        <f t="shared" si="7"/>
        <v>0.9139590745</v>
      </c>
      <c r="I144" s="7">
        <f t="shared" si="8"/>
        <v>1.059240763</v>
      </c>
      <c r="J144" s="7">
        <f t="shared" si="9"/>
        <v>-0.05682649842</v>
      </c>
    </row>
    <row r="145">
      <c r="A145" s="9">
        <v>45447.0</v>
      </c>
      <c r="B145" s="5">
        <v>21884.5</v>
      </c>
      <c r="C145" s="8">
        <f t="shared" si="1"/>
        <v>-0.03307131992</v>
      </c>
      <c r="D145" s="8">
        <f t="shared" si="3"/>
        <v>24054.696</v>
      </c>
      <c r="E145" s="8">
        <f t="shared" si="4"/>
        <v>0</v>
      </c>
      <c r="F145" s="6">
        <f t="shared" si="5"/>
        <v>0</v>
      </c>
      <c r="G145" s="8">
        <f t="shared" si="6"/>
        <v>0.9990478195</v>
      </c>
      <c r="H145" s="8">
        <f t="shared" si="7"/>
        <v>0.8842275812</v>
      </c>
      <c r="I145" s="7">
        <f t="shared" si="8"/>
        <v>1.059240763</v>
      </c>
      <c r="J145" s="7">
        <f t="shared" si="9"/>
        <v>-0.05682649842</v>
      </c>
    </row>
    <row r="146">
      <c r="A146" s="9">
        <v>45446.0</v>
      </c>
      <c r="B146" s="5">
        <v>23263.9</v>
      </c>
      <c r="C146" s="8">
        <f t="shared" si="1"/>
        <v>0.06112417917</v>
      </c>
      <c r="D146" s="8">
        <f t="shared" si="3"/>
        <v>24037.099</v>
      </c>
      <c r="E146" s="8">
        <f t="shared" si="4"/>
        <v>0</v>
      </c>
      <c r="F146" s="6">
        <f t="shared" si="5"/>
        <v>0</v>
      </c>
      <c r="G146" s="8">
        <f t="shared" si="6"/>
        <v>0.9990478195</v>
      </c>
      <c r="H146" s="8">
        <f t="shared" si="7"/>
        <v>0.9399612523</v>
      </c>
      <c r="I146" s="7">
        <f t="shared" si="8"/>
        <v>1.059240763</v>
      </c>
      <c r="J146" s="7">
        <f t="shared" si="9"/>
        <v>-0.05682649842</v>
      </c>
    </row>
    <row r="147">
      <c r="A147" s="10">
        <v>45443.0</v>
      </c>
      <c r="B147" s="5">
        <v>22530.7</v>
      </c>
      <c r="C147" s="8">
        <f t="shared" si="1"/>
        <v>-0.03202397921</v>
      </c>
      <c r="D147" s="8">
        <f t="shared" si="3"/>
        <v>24004.933</v>
      </c>
      <c r="E147" s="8">
        <f t="shared" si="4"/>
        <v>0</v>
      </c>
      <c r="F147" s="6">
        <f t="shared" si="5"/>
        <v>0</v>
      </c>
      <c r="G147" s="8">
        <f t="shared" si="6"/>
        <v>0.9990478195</v>
      </c>
      <c r="H147" s="8">
        <f t="shared" si="7"/>
        <v>0.9103368303</v>
      </c>
      <c r="I147" s="7">
        <f t="shared" si="8"/>
        <v>1.059240763</v>
      </c>
      <c r="J147" s="7">
        <f t="shared" si="9"/>
        <v>-0.05682649842</v>
      </c>
    </row>
    <row r="148">
      <c r="A148" s="10">
        <v>45442.0</v>
      </c>
      <c r="B148" s="5">
        <v>22488.65</v>
      </c>
      <c r="C148" s="8">
        <f t="shared" si="1"/>
        <v>-0.001868086155</v>
      </c>
      <c r="D148" s="8">
        <f t="shared" si="3"/>
        <v>23967.766</v>
      </c>
      <c r="E148" s="8">
        <f t="shared" si="4"/>
        <v>0</v>
      </c>
      <c r="F148" s="6">
        <f t="shared" si="5"/>
        <v>0</v>
      </c>
      <c r="G148" s="8">
        <f t="shared" si="6"/>
        <v>0.9990478195</v>
      </c>
      <c r="H148" s="8">
        <f t="shared" si="7"/>
        <v>0.9086378301</v>
      </c>
      <c r="I148" s="7">
        <f t="shared" si="8"/>
        <v>1.059240763</v>
      </c>
      <c r="J148" s="7">
        <f t="shared" si="9"/>
        <v>-0.05682649842</v>
      </c>
    </row>
    <row r="149">
      <c r="A149" s="10">
        <v>45441.0</v>
      </c>
      <c r="B149" s="5">
        <v>22704.7</v>
      </c>
      <c r="C149" s="8">
        <f t="shared" si="1"/>
        <v>0.009561214023</v>
      </c>
      <c r="D149" s="8">
        <f t="shared" si="3"/>
        <v>23934.51</v>
      </c>
      <c r="E149" s="8">
        <f t="shared" si="4"/>
        <v>0</v>
      </c>
      <c r="F149" s="6">
        <f t="shared" si="5"/>
        <v>0</v>
      </c>
      <c r="G149" s="8">
        <f t="shared" si="6"/>
        <v>0.9990478195</v>
      </c>
      <c r="H149" s="8">
        <f t="shared" si="7"/>
        <v>0.917367176</v>
      </c>
      <c r="I149" s="7">
        <f t="shared" si="8"/>
        <v>1.059240763</v>
      </c>
      <c r="J149" s="7">
        <f t="shared" si="9"/>
        <v>-0.05682649842</v>
      </c>
    </row>
    <row r="150">
      <c r="A150" s="10">
        <v>45440.0</v>
      </c>
      <c r="B150" s="5">
        <v>22888.15</v>
      </c>
      <c r="C150" s="8">
        <f t="shared" si="1"/>
        <v>0.008047357865</v>
      </c>
      <c r="D150" s="8">
        <f t="shared" si="3"/>
        <v>23909.933</v>
      </c>
      <c r="E150" s="8">
        <f t="shared" si="4"/>
        <v>0</v>
      </c>
      <c r="F150" s="6">
        <f t="shared" si="5"/>
        <v>0</v>
      </c>
      <c r="G150" s="8">
        <f t="shared" si="6"/>
        <v>0.9990478195</v>
      </c>
      <c r="H150" s="8">
        <f t="shared" si="7"/>
        <v>0.9247793421</v>
      </c>
      <c r="I150" s="7">
        <f t="shared" si="8"/>
        <v>1.059240763</v>
      </c>
      <c r="J150" s="7">
        <f t="shared" si="9"/>
        <v>-0.05682649842</v>
      </c>
    </row>
    <row r="151">
      <c r="A151" s="10">
        <v>45439.0</v>
      </c>
      <c r="B151" s="5">
        <v>22932.45</v>
      </c>
      <c r="C151" s="8">
        <f t="shared" si="1"/>
        <v>0.001933628709</v>
      </c>
      <c r="D151" s="8">
        <f t="shared" si="3"/>
        <v>23882.632</v>
      </c>
      <c r="E151" s="8">
        <f t="shared" si="4"/>
        <v>0</v>
      </c>
      <c r="F151" s="6">
        <f t="shared" si="5"/>
        <v>0</v>
      </c>
      <c r="G151" s="8">
        <f t="shared" si="6"/>
        <v>0.9990478195</v>
      </c>
      <c r="H151" s="8">
        <f t="shared" si="7"/>
        <v>0.9265692519</v>
      </c>
      <c r="I151" s="7">
        <f t="shared" si="8"/>
        <v>1.059240763</v>
      </c>
      <c r="J151" s="7">
        <f t="shared" si="9"/>
        <v>-0.05682649842</v>
      </c>
    </row>
    <row r="152">
      <c r="A152" s="10">
        <v>45436.0</v>
      </c>
      <c r="B152" s="5">
        <v>22957.1</v>
      </c>
      <c r="C152" s="8">
        <f t="shared" si="1"/>
        <v>0.001074318766</v>
      </c>
      <c r="D152" s="8">
        <f t="shared" si="3"/>
        <v>23861.923</v>
      </c>
      <c r="E152" s="8">
        <f t="shared" si="4"/>
        <v>0</v>
      </c>
      <c r="F152" s="6">
        <f t="shared" si="5"/>
        <v>0</v>
      </c>
      <c r="G152" s="8">
        <f t="shared" si="6"/>
        <v>0.9990478195</v>
      </c>
      <c r="H152" s="8">
        <f t="shared" si="7"/>
        <v>0.9275652176</v>
      </c>
      <c r="I152" s="7">
        <f t="shared" si="8"/>
        <v>1.059240763</v>
      </c>
      <c r="J152" s="7">
        <f t="shared" si="9"/>
        <v>-0.05682649842</v>
      </c>
    </row>
    <row r="153">
      <c r="A153" s="10">
        <v>45435.0</v>
      </c>
      <c r="B153" s="5">
        <v>22967.65</v>
      </c>
      <c r="C153" s="8">
        <f t="shared" si="1"/>
        <v>0.000459447256</v>
      </c>
      <c r="D153" s="8">
        <f t="shared" si="3"/>
        <v>23840.164</v>
      </c>
      <c r="E153" s="8">
        <f t="shared" si="4"/>
        <v>0</v>
      </c>
      <c r="F153" s="6">
        <f t="shared" si="5"/>
        <v>0</v>
      </c>
      <c r="G153" s="8">
        <f t="shared" si="6"/>
        <v>0.9990478195</v>
      </c>
      <c r="H153" s="8">
        <f t="shared" si="7"/>
        <v>0.9279914828</v>
      </c>
      <c r="I153" s="7">
        <f t="shared" si="8"/>
        <v>1.059240763</v>
      </c>
      <c r="J153" s="7">
        <f t="shared" si="9"/>
        <v>-0.05682649842</v>
      </c>
    </row>
    <row r="154">
      <c r="A154" s="10">
        <v>45434.0</v>
      </c>
      <c r="B154" s="5">
        <v>22597.8</v>
      </c>
      <c r="C154" s="8">
        <f t="shared" si="1"/>
        <v>-0.0162341477</v>
      </c>
      <c r="D154" s="8">
        <f t="shared" si="3"/>
        <v>23797.766</v>
      </c>
      <c r="E154" s="8">
        <f t="shared" si="4"/>
        <v>0</v>
      </c>
      <c r="F154" s="6">
        <f t="shared" si="5"/>
        <v>0</v>
      </c>
      <c r="G154" s="8">
        <f t="shared" si="6"/>
        <v>0.9990478195</v>
      </c>
      <c r="H154" s="8">
        <f t="shared" si="7"/>
        <v>0.9130479579</v>
      </c>
      <c r="I154" s="7">
        <f t="shared" si="8"/>
        <v>1.059240763</v>
      </c>
      <c r="J154" s="7">
        <f t="shared" si="9"/>
        <v>-0.05682649842</v>
      </c>
    </row>
    <row r="155">
      <c r="A155" s="10">
        <v>45433.0</v>
      </c>
      <c r="B155" s="5">
        <v>22529.05</v>
      </c>
      <c r="C155" s="8">
        <f t="shared" si="1"/>
        <v>-0.003046968853</v>
      </c>
      <c r="D155" s="8">
        <f t="shared" si="3"/>
        <v>23748.129</v>
      </c>
      <c r="E155" s="8">
        <f t="shared" si="4"/>
        <v>0</v>
      </c>
      <c r="F155" s="6">
        <f t="shared" si="5"/>
        <v>0</v>
      </c>
      <c r="G155" s="8">
        <f t="shared" si="6"/>
        <v>0.9990478195</v>
      </c>
      <c r="H155" s="8">
        <f t="shared" si="7"/>
        <v>0.9102701633</v>
      </c>
      <c r="I155" s="7">
        <f t="shared" si="8"/>
        <v>1.059240763</v>
      </c>
      <c r="J155" s="7">
        <f t="shared" si="9"/>
        <v>-0.05682649842</v>
      </c>
    </row>
    <row r="156">
      <c r="A156" s="10">
        <v>45430.0</v>
      </c>
      <c r="B156" s="5">
        <v>22502.0</v>
      </c>
      <c r="C156" s="8">
        <f t="shared" si="1"/>
        <v>-0.001201393405</v>
      </c>
      <c r="D156" s="8">
        <f t="shared" si="3"/>
        <v>23699.146</v>
      </c>
      <c r="E156" s="8">
        <f t="shared" si="4"/>
        <v>0</v>
      </c>
      <c r="F156" s="6">
        <f t="shared" si="5"/>
        <v>0</v>
      </c>
      <c r="G156" s="8">
        <f t="shared" si="6"/>
        <v>0.9990478195</v>
      </c>
      <c r="H156" s="8">
        <f t="shared" si="7"/>
        <v>0.9091772273</v>
      </c>
      <c r="I156" s="7">
        <f t="shared" si="8"/>
        <v>1.059240763</v>
      </c>
      <c r="J156" s="7">
        <f t="shared" si="9"/>
        <v>-0.05682649842</v>
      </c>
    </row>
    <row r="157">
      <c r="A157" s="10">
        <v>45429.0</v>
      </c>
      <c r="B157" s="5">
        <v>22466.1</v>
      </c>
      <c r="C157" s="8">
        <f t="shared" si="1"/>
        <v>-0.001596687769</v>
      </c>
      <c r="D157" s="8">
        <f t="shared" si="3"/>
        <v>23651.322</v>
      </c>
      <c r="E157" s="8">
        <f t="shared" si="4"/>
        <v>0</v>
      </c>
      <c r="F157" s="6">
        <f t="shared" si="5"/>
        <v>0</v>
      </c>
      <c r="G157" s="8">
        <f t="shared" si="6"/>
        <v>0.9990478195</v>
      </c>
      <c r="H157" s="8">
        <f t="shared" si="7"/>
        <v>0.9077267135</v>
      </c>
      <c r="I157" s="7">
        <f t="shared" si="8"/>
        <v>1.059240763</v>
      </c>
      <c r="J157" s="7">
        <f t="shared" si="9"/>
        <v>-0.05682649842</v>
      </c>
    </row>
    <row r="158">
      <c r="A158" s="10">
        <v>45428.0</v>
      </c>
      <c r="B158" s="5">
        <v>22403.85</v>
      </c>
      <c r="C158" s="8">
        <f t="shared" si="1"/>
        <v>-0.002774687288</v>
      </c>
      <c r="D158" s="8">
        <f t="shared" si="3"/>
        <v>23602.677</v>
      </c>
      <c r="E158" s="8">
        <f t="shared" si="4"/>
        <v>0</v>
      </c>
      <c r="F158" s="6">
        <f t="shared" si="5"/>
        <v>0</v>
      </c>
      <c r="G158" s="8">
        <f t="shared" si="6"/>
        <v>0.9990478195</v>
      </c>
      <c r="H158" s="8">
        <f t="shared" si="7"/>
        <v>0.9052115467</v>
      </c>
      <c r="I158" s="7">
        <f t="shared" si="8"/>
        <v>1.059240763</v>
      </c>
      <c r="J158" s="7">
        <f t="shared" si="9"/>
        <v>-0.05682649842</v>
      </c>
    </row>
    <row r="159">
      <c r="A159" s="10">
        <v>45427.0</v>
      </c>
      <c r="B159" s="5">
        <v>22200.55</v>
      </c>
      <c r="C159" s="8">
        <f t="shared" si="1"/>
        <v>-0.009115755746</v>
      </c>
      <c r="D159" s="8">
        <f t="shared" si="3"/>
        <v>23549.991</v>
      </c>
      <c r="E159" s="8">
        <f t="shared" si="4"/>
        <v>0</v>
      </c>
      <c r="F159" s="6">
        <f t="shared" si="5"/>
        <v>0</v>
      </c>
      <c r="G159" s="8">
        <f t="shared" si="6"/>
        <v>0.9990478195</v>
      </c>
      <c r="H159" s="8">
        <f t="shared" si="7"/>
        <v>0.8969973555</v>
      </c>
      <c r="I159" s="7">
        <f t="shared" si="8"/>
        <v>1.059240763</v>
      </c>
      <c r="J159" s="7">
        <f t="shared" si="9"/>
        <v>-0.05682649842</v>
      </c>
    </row>
    <row r="160">
      <c r="A160" s="10">
        <v>45426.0</v>
      </c>
      <c r="B160" s="5">
        <v>22217.85</v>
      </c>
      <c r="C160" s="8">
        <f t="shared" si="1"/>
        <v>0.0007789565079</v>
      </c>
      <c r="D160" s="8">
        <f t="shared" si="3"/>
        <v>23506.226</v>
      </c>
      <c r="E160" s="8">
        <f t="shared" si="4"/>
        <v>0</v>
      </c>
      <c r="F160" s="6">
        <f t="shared" si="5"/>
        <v>0</v>
      </c>
      <c r="G160" s="8">
        <f t="shared" si="6"/>
        <v>0.9990478195</v>
      </c>
      <c r="H160" s="8">
        <f t="shared" si="7"/>
        <v>0.8976963497</v>
      </c>
      <c r="I160" s="7">
        <f t="shared" si="8"/>
        <v>1.059240763</v>
      </c>
      <c r="J160" s="7">
        <f t="shared" si="9"/>
        <v>-0.05682649842</v>
      </c>
    </row>
    <row r="161">
      <c r="A161" s="10">
        <v>45425.0</v>
      </c>
      <c r="B161" s="5">
        <v>22104.05</v>
      </c>
      <c r="C161" s="8">
        <f t="shared" si="1"/>
        <v>-0.005135170201</v>
      </c>
      <c r="D161" s="8">
        <f t="shared" si="3"/>
        <v>23460.037</v>
      </c>
      <c r="E161" s="8">
        <f t="shared" si="4"/>
        <v>0</v>
      </c>
      <c r="F161" s="6">
        <f t="shared" si="5"/>
        <v>0</v>
      </c>
      <c r="G161" s="8">
        <f t="shared" si="6"/>
        <v>0.9990478195</v>
      </c>
      <c r="H161" s="8">
        <f t="shared" si="7"/>
        <v>0.893098342</v>
      </c>
      <c r="I161" s="7">
        <f t="shared" si="8"/>
        <v>1.059240763</v>
      </c>
      <c r="J161" s="7">
        <f t="shared" si="9"/>
        <v>-0.05682649842</v>
      </c>
    </row>
    <row r="162">
      <c r="A162" s="10">
        <v>45422.0</v>
      </c>
      <c r="B162" s="5">
        <v>22055.2</v>
      </c>
      <c r="C162" s="8">
        <f t="shared" si="1"/>
        <v>-0.002212447898</v>
      </c>
      <c r="D162" s="8">
        <f t="shared" si="3"/>
        <v>23411.56</v>
      </c>
      <c r="E162" s="8">
        <f t="shared" si="4"/>
        <v>0</v>
      </c>
      <c r="F162" s="6">
        <f t="shared" si="5"/>
        <v>0</v>
      </c>
      <c r="G162" s="8">
        <f t="shared" si="6"/>
        <v>0.9990478195</v>
      </c>
      <c r="H162" s="8">
        <f t="shared" si="7"/>
        <v>0.8911245927</v>
      </c>
      <c r="I162" s="7">
        <f t="shared" si="8"/>
        <v>1.059240763</v>
      </c>
      <c r="J162" s="7">
        <f t="shared" si="9"/>
        <v>-0.05682649842</v>
      </c>
    </row>
    <row r="163">
      <c r="A163" s="11">
        <v>45421.0</v>
      </c>
      <c r="B163" s="5">
        <v>21957.5</v>
      </c>
      <c r="C163" s="8">
        <f t="shared" si="1"/>
        <v>-0.004439634945</v>
      </c>
      <c r="D163" s="8">
        <f t="shared" si="3"/>
        <v>23360.525</v>
      </c>
      <c r="E163" s="8">
        <f t="shared" si="4"/>
        <v>0</v>
      </c>
      <c r="F163" s="6">
        <f t="shared" si="5"/>
        <v>0</v>
      </c>
      <c r="G163" s="8">
        <f t="shared" si="6"/>
        <v>0.9990478195</v>
      </c>
      <c r="H163" s="8">
        <f t="shared" si="7"/>
        <v>0.887177094</v>
      </c>
      <c r="I163" s="7">
        <f t="shared" si="8"/>
        <v>1.059240763</v>
      </c>
      <c r="J163" s="7">
        <f t="shared" si="9"/>
        <v>-0.05682649842</v>
      </c>
    </row>
    <row r="164">
      <c r="A164" s="11">
        <v>45420.0</v>
      </c>
      <c r="B164" s="5">
        <v>22302.5</v>
      </c>
      <c r="C164" s="8">
        <f t="shared" si="1"/>
        <v>0.015590013</v>
      </c>
      <c r="D164" s="8">
        <f t="shared" si="3"/>
        <v>23315.957</v>
      </c>
      <c r="E164" s="8">
        <f t="shared" si="4"/>
        <v>0</v>
      </c>
      <c r="F164" s="6">
        <f t="shared" si="5"/>
        <v>0</v>
      </c>
      <c r="G164" s="8">
        <f t="shared" si="6"/>
        <v>0.9990478195</v>
      </c>
      <c r="H164" s="8">
        <f t="shared" si="7"/>
        <v>0.9011165724</v>
      </c>
      <c r="I164" s="7">
        <f t="shared" si="8"/>
        <v>1.059240763</v>
      </c>
      <c r="J164" s="7">
        <f t="shared" si="9"/>
        <v>-0.05682649842</v>
      </c>
    </row>
    <row r="165">
      <c r="A165" s="11">
        <v>45419.0</v>
      </c>
      <c r="B165" s="5">
        <v>22302.5</v>
      </c>
      <c r="C165" s="8">
        <f t="shared" si="1"/>
        <v>0</v>
      </c>
      <c r="D165" s="8">
        <f t="shared" si="3"/>
        <v>23265.99</v>
      </c>
      <c r="E165" s="8">
        <f t="shared" si="4"/>
        <v>0</v>
      </c>
      <c r="F165" s="6">
        <f t="shared" si="5"/>
        <v>0</v>
      </c>
      <c r="G165" s="8">
        <f t="shared" si="6"/>
        <v>0.9990478195</v>
      </c>
      <c r="H165" s="8">
        <f t="shared" si="7"/>
        <v>0.9011165724</v>
      </c>
      <c r="I165" s="7">
        <f t="shared" si="8"/>
        <v>1.059240763</v>
      </c>
      <c r="J165" s="7">
        <f t="shared" si="9"/>
        <v>-0.05682649842</v>
      </c>
    </row>
    <row r="166">
      <c r="A166" s="11">
        <v>45418.0</v>
      </c>
      <c r="B166" s="5">
        <v>22442.7</v>
      </c>
      <c r="C166" s="8">
        <f t="shared" si="1"/>
        <v>0.006266614466</v>
      </c>
      <c r="D166" s="8">
        <f t="shared" si="3"/>
        <v>23222.584</v>
      </c>
      <c r="E166" s="8">
        <f t="shared" si="4"/>
        <v>0</v>
      </c>
      <c r="F166" s="6">
        <f t="shared" si="5"/>
        <v>0</v>
      </c>
      <c r="G166" s="8">
        <f t="shared" si="6"/>
        <v>0.9990478195</v>
      </c>
      <c r="H166" s="8">
        <f t="shared" si="7"/>
        <v>0.9067812532</v>
      </c>
      <c r="I166" s="7">
        <f t="shared" si="8"/>
        <v>1.059240763</v>
      </c>
      <c r="J166" s="7">
        <f t="shared" si="9"/>
        <v>-0.05682649842</v>
      </c>
    </row>
    <row r="167">
      <c r="A167" s="11">
        <v>45415.0</v>
      </c>
      <c r="B167" s="5">
        <v>22475.85</v>
      </c>
      <c r="C167" s="8">
        <f t="shared" si="1"/>
        <v>0.00147600517</v>
      </c>
      <c r="D167" s="8">
        <f t="shared" si="3"/>
        <v>23180.367</v>
      </c>
      <c r="E167" s="8">
        <f t="shared" si="4"/>
        <v>0</v>
      </c>
      <c r="F167" s="6">
        <f t="shared" si="5"/>
        <v>0</v>
      </c>
      <c r="G167" s="8">
        <f t="shared" si="6"/>
        <v>0.9990478195</v>
      </c>
      <c r="H167" s="8">
        <f t="shared" si="7"/>
        <v>0.9081206553</v>
      </c>
      <c r="I167" s="7">
        <f t="shared" si="8"/>
        <v>1.059240763</v>
      </c>
      <c r="J167" s="7">
        <f t="shared" si="9"/>
        <v>-0.05682649842</v>
      </c>
    </row>
    <row r="168">
      <c r="A168" s="11">
        <v>45414.0</v>
      </c>
      <c r="B168" s="5">
        <v>22648.2</v>
      </c>
      <c r="C168" s="8">
        <f t="shared" si="1"/>
        <v>0.00763897913</v>
      </c>
      <c r="D168" s="8">
        <f t="shared" si="3"/>
        <v>23143.288</v>
      </c>
      <c r="E168" s="8">
        <f t="shared" si="4"/>
        <v>0</v>
      </c>
      <c r="F168" s="6">
        <f t="shared" si="5"/>
        <v>0</v>
      </c>
      <c r="G168" s="8">
        <f t="shared" si="6"/>
        <v>0.9990478195</v>
      </c>
      <c r="H168" s="8">
        <f t="shared" si="7"/>
        <v>0.9150843338</v>
      </c>
      <c r="I168" s="7">
        <f t="shared" si="8"/>
        <v>1.059240763</v>
      </c>
      <c r="J168" s="7">
        <f t="shared" si="9"/>
        <v>-0.05682649842</v>
      </c>
    </row>
    <row r="169">
      <c r="A169" s="4">
        <v>45412.0</v>
      </c>
      <c r="B169" s="5">
        <v>22604.85</v>
      </c>
      <c r="C169" s="8">
        <f t="shared" si="1"/>
        <v>-0.001915893548</v>
      </c>
      <c r="D169" s="8">
        <f t="shared" si="3"/>
        <v>23109.066</v>
      </c>
      <c r="E169" s="8">
        <f t="shared" si="4"/>
        <v>0</v>
      </c>
      <c r="F169" s="6">
        <f t="shared" si="5"/>
        <v>0</v>
      </c>
      <c r="G169" s="8">
        <f t="shared" si="6"/>
        <v>0.9990478195</v>
      </c>
      <c r="H169" s="8">
        <f t="shared" si="7"/>
        <v>0.9133328081</v>
      </c>
      <c r="I169" s="7">
        <f t="shared" si="8"/>
        <v>1.059240763</v>
      </c>
      <c r="J169" s="7">
        <f t="shared" si="9"/>
        <v>-0.05682649842</v>
      </c>
    </row>
    <row r="170">
      <c r="A170" s="4">
        <v>45411.0</v>
      </c>
      <c r="B170" s="5">
        <v>22643.4</v>
      </c>
      <c r="C170" s="8">
        <f t="shared" si="1"/>
        <v>0.001703933714</v>
      </c>
      <c r="D170" s="8">
        <f t="shared" si="3"/>
        <v>23075.445</v>
      </c>
      <c r="E170" s="8">
        <f t="shared" si="4"/>
        <v>0</v>
      </c>
      <c r="F170" s="6">
        <f t="shared" si="5"/>
        <v>0</v>
      </c>
      <c r="G170" s="8">
        <f t="shared" si="6"/>
        <v>0.9990478195</v>
      </c>
      <c r="H170" s="8">
        <f t="shared" si="7"/>
        <v>0.9148903933</v>
      </c>
      <c r="I170" s="7">
        <f t="shared" si="8"/>
        <v>1.059240763</v>
      </c>
      <c r="J170" s="7">
        <f t="shared" si="9"/>
        <v>-0.05682649842</v>
      </c>
    </row>
    <row r="171">
      <c r="A171" s="4">
        <v>45408.0</v>
      </c>
      <c r="B171" s="5">
        <v>22419.95</v>
      </c>
      <c r="C171" s="8">
        <f t="shared" si="1"/>
        <v>-0.009917231248</v>
      </c>
      <c r="D171" s="8">
        <f t="shared" si="3"/>
        <v>23035.18</v>
      </c>
      <c r="E171" s="8">
        <f t="shared" si="4"/>
        <v>0</v>
      </c>
      <c r="F171" s="6">
        <f t="shared" si="5"/>
        <v>0</v>
      </c>
      <c r="G171" s="8">
        <f t="shared" si="6"/>
        <v>0.9990478195</v>
      </c>
      <c r="H171" s="8">
        <f t="shared" si="7"/>
        <v>0.9058620557</v>
      </c>
      <c r="I171" s="7">
        <f t="shared" si="8"/>
        <v>1.059240763</v>
      </c>
      <c r="J171" s="7">
        <f t="shared" si="9"/>
        <v>-0.05682649842</v>
      </c>
    </row>
    <row r="172">
      <c r="A172" s="4">
        <v>45407.0</v>
      </c>
      <c r="B172" s="5">
        <v>22570.35</v>
      </c>
      <c r="C172" s="8">
        <f t="shared" si="1"/>
        <v>0.00668591053</v>
      </c>
      <c r="D172" s="8">
        <f t="shared" si="3"/>
        <v>23000.176</v>
      </c>
      <c r="E172" s="8">
        <f t="shared" si="4"/>
        <v>0</v>
      </c>
      <c r="F172" s="6">
        <f t="shared" si="5"/>
        <v>0</v>
      </c>
      <c r="G172" s="8">
        <f t="shared" si="6"/>
        <v>0.9990478195</v>
      </c>
      <c r="H172" s="8">
        <f t="shared" si="7"/>
        <v>0.9119388602</v>
      </c>
      <c r="I172" s="7">
        <f t="shared" si="8"/>
        <v>1.059240763</v>
      </c>
      <c r="J172" s="7">
        <f t="shared" si="9"/>
        <v>-0.05682649842</v>
      </c>
    </row>
    <row r="173">
      <c r="A173" s="4">
        <v>45406.0</v>
      </c>
      <c r="B173" s="5">
        <v>22402.4</v>
      </c>
      <c r="C173" s="8">
        <f t="shared" si="1"/>
        <v>-0.007469002041</v>
      </c>
      <c r="D173" s="8">
        <f t="shared" si="3"/>
        <v>22961.747</v>
      </c>
      <c r="E173" s="8">
        <f t="shared" si="4"/>
        <v>0</v>
      </c>
      <c r="F173" s="6">
        <f t="shared" si="5"/>
        <v>0</v>
      </c>
      <c r="G173" s="8">
        <f t="shared" si="6"/>
        <v>0.9990478195</v>
      </c>
      <c r="H173" s="8">
        <f t="shared" si="7"/>
        <v>0.9051529605</v>
      </c>
      <c r="I173" s="7">
        <f t="shared" si="8"/>
        <v>1.059240763</v>
      </c>
      <c r="J173" s="7">
        <f t="shared" si="9"/>
        <v>-0.05682649842</v>
      </c>
    </row>
    <row r="174">
      <c r="A174" s="4">
        <v>45405.0</v>
      </c>
      <c r="B174" s="5">
        <v>22368.0</v>
      </c>
      <c r="C174" s="8">
        <f t="shared" si="1"/>
        <v>-0.001536729927</v>
      </c>
      <c r="D174" s="8">
        <f t="shared" si="3"/>
        <v>22923.064</v>
      </c>
      <c r="E174" s="8">
        <f t="shared" si="4"/>
        <v>0</v>
      </c>
      <c r="F174" s="6">
        <f t="shared" si="5"/>
        <v>0</v>
      </c>
      <c r="G174" s="8">
        <f t="shared" si="6"/>
        <v>0.9990478195</v>
      </c>
      <c r="H174" s="8">
        <f t="shared" si="7"/>
        <v>0.9037630531</v>
      </c>
      <c r="I174" s="7">
        <f t="shared" si="8"/>
        <v>1.059240763</v>
      </c>
      <c r="J174" s="7">
        <f t="shared" si="9"/>
        <v>-0.05682649842</v>
      </c>
    </row>
    <row r="175">
      <c r="A175" s="4">
        <v>45404.0</v>
      </c>
      <c r="B175" s="5">
        <v>22336.4</v>
      </c>
      <c r="C175" s="8">
        <f t="shared" si="1"/>
        <v>-0.001413731322</v>
      </c>
      <c r="D175" s="8">
        <f t="shared" si="3"/>
        <v>22884.062</v>
      </c>
      <c r="E175" s="8">
        <f t="shared" si="4"/>
        <v>0</v>
      </c>
      <c r="F175" s="6">
        <f t="shared" si="5"/>
        <v>0</v>
      </c>
      <c r="G175" s="8">
        <f t="shared" si="6"/>
        <v>0.9990478195</v>
      </c>
      <c r="H175" s="8">
        <f t="shared" si="7"/>
        <v>0.9024862777</v>
      </c>
      <c r="I175" s="7">
        <f t="shared" si="8"/>
        <v>1.059240763</v>
      </c>
      <c r="J175" s="7">
        <f t="shared" si="9"/>
        <v>-0.05682649842</v>
      </c>
    </row>
    <row r="176">
      <c r="A176" s="4">
        <v>45401.0</v>
      </c>
      <c r="B176" s="5">
        <v>22147.0</v>
      </c>
      <c r="C176" s="8">
        <f t="shared" si="1"/>
        <v>-0.008515587591</v>
      </c>
      <c r="D176" s="8">
        <f t="shared" si="3"/>
        <v>22844.525</v>
      </c>
      <c r="E176" s="8">
        <f t="shared" si="4"/>
        <v>0</v>
      </c>
      <c r="F176" s="6">
        <f t="shared" si="5"/>
        <v>0</v>
      </c>
      <c r="G176" s="8">
        <f t="shared" si="6"/>
        <v>0.9990478195</v>
      </c>
      <c r="H176" s="8">
        <f t="shared" si="7"/>
        <v>0.8948337061</v>
      </c>
      <c r="I176" s="7">
        <f t="shared" si="8"/>
        <v>1.059240763</v>
      </c>
      <c r="J176" s="7">
        <f t="shared" si="9"/>
        <v>-0.05682649842</v>
      </c>
    </row>
    <row r="177">
      <c r="A177" s="4">
        <v>45400.0</v>
      </c>
      <c r="B177" s="5">
        <v>21995.85</v>
      </c>
      <c r="C177" s="8">
        <f t="shared" si="1"/>
        <v>-0.006848247937</v>
      </c>
      <c r="D177" s="8">
        <f t="shared" si="3"/>
        <v>22801.603</v>
      </c>
      <c r="E177" s="8">
        <f t="shared" si="4"/>
        <v>0</v>
      </c>
      <c r="F177" s="6">
        <f t="shared" si="5"/>
        <v>0</v>
      </c>
      <c r="G177" s="8">
        <f t="shared" si="6"/>
        <v>0.9990478195</v>
      </c>
      <c r="H177" s="8">
        <f t="shared" si="7"/>
        <v>0.8887265983</v>
      </c>
      <c r="I177" s="7">
        <f t="shared" si="8"/>
        <v>1.059240763</v>
      </c>
      <c r="J177" s="7">
        <f t="shared" si="9"/>
        <v>-0.05682649842</v>
      </c>
    </row>
    <row r="178">
      <c r="A178" s="4">
        <v>45398.0</v>
      </c>
      <c r="B178" s="5">
        <v>22147.9</v>
      </c>
      <c r="C178" s="8">
        <f t="shared" si="1"/>
        <v>0.00688888467</v>
      </c>
      <c r="D178" s="8">
        <f t="shared" si="3"/>
        <v>22764.349</v>
      </c>
      <c r="E178" s="8">
        <f t="shared" si="4"/>
        <v>0</v>
      </c>
      <c r="F178" s="6">
        <f t="shared" si="5"/>
        <v>0</v>
      </c>
      <c r="G178" s="8">
        <f t="shared" si="6"/>
        <v>0.9990478195</v>
      </c>
      <c r="H178" s="8">
        <f t="shared" si="7"/>
        <v>0.8948700699</v>
      </c>
      <c r="I178" s="7">
        <f t="shared" si="8"/>
        <v>1.059240763</v>
      </c>
      <c r="J178" s="7">
        <f t="shared" si="9"/>
        <v>-0.05682649842</v>
      </c>
    </row>
    <row r="179">
      <c r="A179" s="4">
        <v>45397.0</v>
      </c>
      <c r="B179" s="5">
        <v>22272.5</v>
      </c>
      <c r="C179" s="8">
        <f t="shared" si="1"/>
        <v>0.005610049743</v>
      </c>
      <c r="D179" s="8">
        <f t="shared" si="3"/>
        <v>22728.909</v>
      </c>
      <c r="E179" s="8">
        <f t="shared" si="4"/>
        <v>0</v>
      </c>
      <c r="F179" s="6">
        <f t="shared" si="5"/>
        <v>0</v>
      </c>
      <c r="G179" s="8">
        <f t="shared" si="6"/>
        <v>0.9990478195</v>
      </c>
      <c r="H179" s="8">
        <f t="shared" si="7"/>
        <v>0.8999044439</v>
      </c>
      <c r="I179" s="7">
        <f t="shared" si="8"/>
        <v>1.059240763</v>
      </c>
      <c r="J179" s="7">
        <f t="shared" si="9"/>
        <v>-0.05682649842</v>
      </c>
    </row>
    <row r="180">
      <c r="A180" s="4">
        <v>45394.0</v>
      </c>
      <c r="B180" s="5">
        <v>22519.4</v>
      </c>
      <c r="C180" s="8">
        <f t="shared" si="1"/>
        <v>0.01102442632</v>
      </c>
      <c r="D180" s="8">
        <f t="shared" si="3"/>
        <v>22701.921</v>
      </c>
      <c r="E180" s="8">
        <f t="shared" si="4"/>
        <v>0</v>
      </c>
      <c r="F180" s="6">
        <f t="shared" si="5"/>
        <v>0</v>
      </c>
      <c r="G180" s="8">
        <f t="shared" si="6"/>
        <v>0.9990478195</v>
      </c>
      <c r="H180" s="8">
        <f t="shared" si="7"/>
        <v>0.9098802619</v>
      </c>
      <c r="I180" s="7">
        <f t="shared" si="8"/>
        <v>1.059240763</v>
      </c>
      <c r="J180" s="7">
        <f t="shared" si="9"/>
        <v>-0.05682649842</v>
      </c>
    </row>
    <row r="181">
      <c r="A181" s="4">
        <v>45392.0</v>
      </c>
      <c r="B181" s="5">
        <v>22753.8</v>
      </c>
      <c r="C181" s="8">
        <f t="shared" si="1"/>
        <v>0.01035500448</v>
      </c>
      <c r="D181" s="8">
        <f t="shared" si="3"/>
        <v>22682.571</v>
      </c>
      <c r="E181" s="8">
        <f t="shared" si="4"/>
        <v>1</v>
      </c>
      <c r="F181" s="6">
        <f t="shared" si="5"/>
        <v>0</v>
      </c>
      <c r="G181" s="8">
        <f t="shared" si="6"/>
        <v>0.9990478195</v>
      </c>
      <c r="H181" s="8">
        <f t="shared" si="7"/>
        <v>0.9193510264</v>
      </c>
      <c r="I181" s="7">
        <f t="shared" si="8"/>
        <v>1.059240763</v>
      </c>
      <c r="J181" s="7">
        <f t="shared" si="9"/>
        <v>-0.05682649842</v>
      </c>
    </row>
    <row r="182">
      <c r="A182" s="9">
        <v>45391.0</v>
      </c>
      <c r="B182" s="5">
        <v>22642.75</v>
      </c>
      <c r="C182" s="8">
        <f t="shared" si="1"/>
        <v>-0.004892452026</v>
      </c>
      <c r="D182" s="8">
        <f t="shared" si="3"/>
        <v>22664.669</v>
      </c>
      <c r="E182" s="8">
        <f t="shared" si="4"/>
        <v>0</v>
      </c>
      <c r="F182" s="6">
        <f t="shared" si="5"/>
        <v>-0.004892452026</v>
      </c>
      <c r="G182" s="8">
        <f t="shared" si="6"/>
        <v>0.9941719632</v>
      </c>
      <c r="H182" s="8">
        <f t="shared" si="7"/>
        <v>0.9148641305</v>
      </c>
      <c r="I182" s="7">
        <f t="shared" si="8"/>
        <v>1.059240763</v>
      </c>
      <c r="J182" s="7">
        <f t="shared" si="9"/>
        <v>-0.06142965998</v>
      </c>
    </row>
    <row r="183">
      <c r="A183" s="9">
        <v>45390.0</v>
      </c>
      <c r="B183" s="5">
        <v>22666.3</v>
      </c>
      <c r="C183" s="8">
        <f t="shared" si="1"/>
        <v>0.001039527517</v>
      </c>
      <c r="D183" s="8">
        <f t="shared" si="3"/>
        <v>22647.973</v>
      </c>
      <c r="E183" s="8">
        <f t="shared" si="4"/>
        <v>1</v>
      </c>
      <c r="F183" s="6">
        <f t="shared" si="5"/>
        <v>0</v>
      </c>
      <c r="G183" s="8">
        <f t="shared" si="6"/>
        <v>0.9941719632</v>
      </c>
      <c r="H183" s="8">
        <f t="shared" si="7"/>
        <v>0.9158156514</v>
      </c>
      <c r="I183" s="7">
        <f t="shared" si="8"/>
        <v>1.059240763</v>
      </c>
      <c r="J183" s="7">
        <f t="shared" si="9"/>
        <v>-0.06142965998</v>
      </c>
    </row>
    <row r="184">
      <c r="A184" s="9">
        <v>45387.0</v>
      </c>
      <c r="B184" s="5">
        <v>22513.7</v>
      </c>
      <c r="C184" s="8">
        <f t="shared" si="1"/>
        <v>-0.006755227105</v>
      </c>
      <c r="D184" s="8">
        <f t="shared" si="3"/>
        <v>22626.907</v>
      </c>
      <c r="E184" s="8">
        <f t="shared" si="4"/>
        <v>0</v>
      </c>
      <c r="F184" s="6">
        <f t="shared" si="5"/>
        <v>-0.006755227105</v>
      </c>
      <c r="G184" s="8">
        <f t="shared" si="6"/>
        <v>0.9874787384</v>
      </c>
      <c r="H184" s="8">
        <f t="shared" si="7"/>
        <v>0.9096499575</v>
      </c>
      <c r="I184" s="7">
        <f t="shared" si="8"/>
        <v>1.059240763</v>
      </c>
      <c r="J184" s="7">
        <f t="shared" si="9"/>
        <v>-0.06774854898</v>
      </c>
    </row>
    <row r="185">
      <c r="A185" s="9">
        <v>45386.0</v>
      </c>
      <c r="B185" s="5">
        <v>22514.65</v>
      </c>
      <c r="C185" s="8">
        <f t="shared" si="1"/>
        <v>0.00004219563898</v>
      </c>
      <c r="D185" s="8">
        <f t="shared" si="3"/>
        <v>22606.88</v>
      </c>
      <c r="E185" s="8">
        <f t="shared" si="4"/>
        <v>0</v>
      </c>
      <c r="F185" s="6">
        <f t="shared" si="5"/>
        <v>0</v>
      </c>
      <c r="G185" s="8">
        <f t="shared" si="6"/>
        <v>0.9874787384</v>
      </c>
      <c r="H185" s="8">
        <f t="shared" si="7"/>
        <v>0.9096883415</v>
      </c>
      <c r="I185" s="7">
        <f t="shared" si="8"/>
        <v>1.059240763</v>
      </c>
      <c r="J185" s="7">
        <f t="shared" si="9"/>
        <v>-0.06774854898</v>
      </c>
    </row>
    <row r="186">
      <c r="A186" s="9">
        <v>45385.0</v>
      </c>
      <c r="B186" s="5">
        <v>22434.65</v>
      </c>
      <c r="C186" s="8">
        <f t="shared" si="1"/>
        <v>-0.003559569758</v>
      </c>
      <c r="D186" s="8">
        <f t="shared" si="3"/>
        <v>22584.415</v>
      </c>
      <c r="E186" s="8">
        <f t="shared" si="4"/>
        <v>0</v>
      </c>
      <c r="F186" s="6">
        <f t="shared" si="5"/>
        <v>0</v>
      </c>
      <c r="G186" s="8">
        <f t="shared" si="6"/>
        <v>0.9874787384</v>
      </c>
      <c r="H186" s="8">
        <f t="shared" si="7"/>
        <v>0.9064559987</v>
      </c>
      <c r="I186" s="7">
        <f t="shared" si="8"/>
        <v>1.059240763</v>
      </c>
      <c r="J186" s="7">
        <f t="shared" si="9"/>
        <v>-0.06774854898</v>
      </c>
    </row>
    <row r="187">
      <c r="A187" s="9">
        <v>45384.0</v>
      </c>
      <c r="B187" s="5">
        <v>22453.3</v>
      </c>
      <c r="C187" s="8">
        <f t="shared" si="1"/>
        <v>0.0008309580221</v>
      </c>
      <c r="D187" s="8">
        <f t="shared" si="3"/>
        <v>22564.169</v>
      </c>
      <c r="E187" s="8">
        <f t="shared" si="4"/>
        <v>0</v>
      </c>
      <c r="F187" s="6">
        <f t="shared" si="5"/>
        <v>0</v>
      </c>
      <c r="G187" s="8">
        <f t="shared" si="6"/>
        <v>0.9874787384</v>
      </c>
      <c r="H187" s="8">
        <f t="shared" si="7"/>
        <v>0.9072095386</v>
      </c>
      <c r="I187" s="7">
        <f t="shared" si="8"/>
        <v>1.059240763</v>
      </c>
      <c r="J187" s="7">
        <f t="shared" si="9"/>
        <v>-0.06774854898</v>
      </c>
    </row>
    <row r="188">
      <c r="A188" s="9">
        <v>45383.0</v>
      </c>
      <c r="B188" s="5">
        <v>22462.0</v>
      </c>
      <c r="C188" s="8">
        <f t="shared" si="1"/>
        <v>0.0003873958366</v>
      </c>
      <c r="D188" s="8">
        <f t="shared" si="3"/>
        <v>22545.431</v>
      </c>
      <c r="E188" s="8">
        <f t="shared" si="4"/>
        <v>0</v>
      </c>
      <c r="F188" s="6">
        <f t="shared" si="5"/>
        <v>0</v>
      </c>
      <c r="G188" s="8">
        <f t="shared" si="6"/>
        <v>0.9874787384</v>
      </c>
      <c r="H188" s="8">
        <f t="shared" si="7"/>
        <v>0.9075610559</v>
      </c>
      <c r="I188" s="7">
        <f t="shared" si="8"/>
        <v>1.059240763</v>
      </c>
      <c r="J188" s="7">
        <f t="shared" si="9"/>
        <v>-0.06774854898</v>
      </c>
    </row>
    <row r="189">
      <c r="A189" s="4">
        <v>45379.0</v>
      </c>
      <c r="B189" s="5">
        <v>22326.9</v>
      </c>
      <c r="C189" s="8">
        <f t="shared" si="1"/>
        <v>-0.006032763017</v>
      </c>
      <c r="D189" s="8">
        <f t="shared" si="3"/>
        <v>22525.51</v>
      </c>
      <c r="E189" s="8">
        <f t="shared" si="4"/>
        <v>0</v>
      </c>
      <c r="F189" s="6">
        <f t="shared" si="5"/>
        <v>0</v>
      </c>
      <c r="G189" s="8">
        <f t="shared" si="6"/>
        <v>0.9874787384</v>
      </c>
      <c r="H189" s="8">
        <f t="shared" si="7"/>
        <v>0.902102437</v>
      </c>
      <c r="I189" s="7">
        <f t="shared" si="8"/>
        <v>1.059240763</v>
      </c>
      <c r="J189" s="7">
        <f t="shared" si="9"/>
        <v>-0.06774854898</v>
      </c>
    </row>
    <row r="190">
      <c r="A190" s="4">
        <v>45378.0</v>
      </c>
      <c r="B190" s="5">
        <v>22123.65</v>
      </c>
      <c r="C190" s="8">
        <f t="shared" si="1"/>
        <v>-0.009145057441</v>
      </c>
      <c r="D190" s="8">
        <f t="shared" si="3"/>
        <v>22502.686</v>
      </c>
      <c r="E190" s="8">
        <f t="shared" si="4"/>
        <v>0</v>
      </c>
      <c r="F190" s="6">
        <f t="shared" si="5"/>
        <v>0</v>
      </c>
      <c r="G190" s="8">
        <f t="shared" si="6"/>
        <v>0.9874787384</v>
      </c>
      <c r="H190" s="8">
        <f t="shared" si="7"/>
        <v>0.893890266</v>
      </c>
      <c r="I190" s="7">
        <f t="shared" si="8"/>
        <v>1.059240763</v>
      </c>
      <c r="J190" s="7">
        <f t="shared" si="9"/>
        <v>-0.06774854898</v>
      </c>
    </row>
    <row r="191">
      <c r="A191" s="4">
        <v>45377.0</v>
      </c>
      <c r="B191" s="5">
        <v>22004.7</v>
      </c>
      <c r="C191" s="8">
        <f t="shared" si="1"/>
        <v>-0.005391105178</v>
      </c>
      <c r="D191" s="8">
        <f t="shared" si="3"/>
        <v>22477.596</v>
      </c>
      <c r="E191" s="8">
        <f t="shared" si="4"/>
        <v>0</v>
      </c>
      <c r="F191" s="6">
        <f t="shared" si="5"/>
        <v>0</v>
      </c>
      <c r="G191" s="8">
        <f t="shared" si="6"/>
        <v>0.9874787384</v>
      </c>
      <c r="H191" s="8">
        <f t="shared" si="7"/>
        <v>0.8890841763</v>
      </c>
      <c r="I191" s="7">
        <f t="shared" si="8"/>
        <v>1.059240763</v>
      </c>
      <c r="J191" s="7">
        <f t="shared" si="9"/>
        <v>-0.06774854898</v>
      </c>
    </row>
    <row r="192">
      <c r="A192" s="4">
        <v>45373.0</v>
      </c>
      <c r="B192" s="5">
        <v>22096.75</v>
      </c>
      <c r="C192" s="8">
        <f t="shared" si="1"/>
        <v>0.004174471981</v>
      </c>
      <c r="D192" s="8">
        <f t="shared" si="3"/>
        <v>22453.728</v>
      </c>
      <c r="E192" s="8">
        <f t="shared" si="4"/>
        <v>0</v>
      </c>
      <c r="F192" s="6">
        <f t="shared" si="5"/>
        <v>0</v>
      </c>
      <c r="G192" s="8">
        <f t="shared" si="6"/>
        <v>0.9874787384</v>
      </c>
      <c r="H192" s="8">
        <f t="shared" si="7"/>
        <v>0.8928033907</v>
      </c>
      <c r="I192" s="7">
        <f t="shared" si="8"/>
        <v>1.059240763</v>
      </c>
      <c r="J192" s="7">
        <f t="shared" si="9"/>
        <v>-0.06774854898</v>
      </c>
    </row>
    <row r="193">
      <c r="A193" s="4">
        <v>45372.0</v>
      </c>
      <c r="B193" s="5">
        <v>22011.95</v>
      </c>
      <c r="C193" s="8">
        <f t="shared" si="1"/>
        <v>-0.003845051179</v>
      </c>
      <c r="D193" s="8">
        <f t="shared" si="3"/>
        <v>22437.539</v>
      </c>
      <c r="E193" s="8">
        <f t="shared" si="4"/>
        <v>0</v>
      </c>
      <c r="F193" s="6">
        <f t="shared" si="5"/>
        <v>0</v>
      </c>
      <c r="G193" s="8">
        <f t="shared" si="6"/>
        <v>0.9874787384</v>
      </c>
      <c r="H193" s="8">
        <f t="shared" si="7"/>
        <v>0.8893771073</v>
      </c>
      <c r="I193" s="7">
        <f t="shared" si="8"/>
        <v>1.059240763</v>
      </c>
      <c r="J193" s="7">
        <f t="shared" si="9"/>
        <v>-0.06774854898</v>
      </c>
    </row>
    <row r="194">
      <c r="A194" s="4">
        <v>45371.0</v>
      </c>
      <c r="B194" s="5">
        <v>21839.1</v>
      </c>
      <c r="C194" s="8">
        <f t="shared" si="1"/>
        <v>-0.00788354647</v>
      </c>
      <c r="D194" s="8">
        <f t="shared" si="3"/>
        <v>22421.914</v>
      </c>
      <c r="E194" s="8">
        <f t="shared" si="4"/>
        <v>0</v>
      </c>
      <c r="F194" s="6">
        <f t="shared" si="5"/>
        <v>0</v>
      </c>
      <c r="G194" s="8">
        <f t="shared" si="6"/>
        <v>0.9874787384</v>
      </c>
      <c r="H194" s="8">
        <f t="shared" si="7"/>
        <v>0.8823932266</v>
      </c>
      <c r="I194" s="7">
        <f t="shared" si="8"/>
        <v>1.059240763</v>
      </c>
      <c r="J194" s="7">
        <f t="shared" si="9"/>
        <v>-0.06774854898</v>
      </c>
    </row>
    <row r="195">
      <c r="A195" s="4">
        <v>45370.0</v>
      </c>
      <c r="B195" s="5">
        <v>21817.45</v>
      </c>
      <c r="C195" s="8">
        <f t="shared" si="1"/>
        <v>-0.000991832922</v>
      </c>
      <c r="D195" s="8">
        <f t="shared" si="3"/>
        <v>22420.573</v>
      </c>
      <c r="E195" s="8">
        <f t="shared" si="4"/>
        <v>0</v>
      </c>
      <c r="F195" s="6">
        <f t="shared" si="5"/>
        <v>0</v>
      </c>
      <c r="G195" s="8">
        <f t="shared" si="6"/>
        <v>0.9874787384</v>
      </c>
      <c r="H195" s="8">
        <f t="shared" si="7"/>
        <v>0.8815184738</v>
      </c>
      <c r="I195" s="7">
        <f t="shared" si="8"/>
        <v>1.059240763</v>
      </c>
      <c r="J195" s="7">
        <f t="shared" si="9"/>
        <v>-0.06774854898</v>
      </c>
    </row>
    <row r="196">
      <c r="A196" s="4">
        <v>45369.0</v>
      </c>
      <c r="B196" s="5">
        <v>22055.7</v>
      </c>
      <c r="C196" s="8">
        <f t="shared" si="1"/>
        <v>0.01086096357</v>
      </c>
      <c r="D196" s="8">
        <f t="shared" si="3"/>
        <v>22396.409</v>
      </c>
      <c r="E196" s="8">
        <f t="shared" si="4"/>
        <v>0</v>
      </c>
      <c r="F196" s="6">
        <f t="shared" si="5"/>
        <v>0</v>
      </c>
      <c r="G196" s="8">
        <f t="shared" si="6"/>
        <v>0.9874787384</v>
      </c>
      <c r="H196" s="8">
        <f t="shared" si="7"/>
        <v>0.8911447948</v>
      </c>
      <c r="I196" s="7">
        <f t="shared" si="8"/>
        <v>1.059240763</v>
      </c>
      <c r="J196" s="7">
        <f t="shared" si="9"/>
        <v>-0.06774854898</v>
      </c>
    </row>
    <row r="197">
      <c r="A197" s="4">
        <v>45366.0</v>
      </c>
      <c r="B197" s="5">
        <v>22023.35</v>
      </c>
      <c r="C197" s="8">
        <f t="shared" si="1"/>
        <v>-0.001467817741</v>
      </c>
      <c r="D197" s="8">
        <f t="shared" si="3"/>
        <v>22386.262</v>
      </c>
      <c r="E197" s="8">
        <f t="shared" si="4"/>
        <v>0</v>
      </c>
      <c r="F197" s="6">
        <f t="shared" si="5"/>
        <v>0</v>
      </c>
      <c r="G197" s="8">
        <f t="shared" si="6"/>
        <v>0.9874787384</v>
      </c>
      <c r="H197" s="8">
        <f t="shared" si="7"/>
        <v>0.8898377162</v>
      </c>
      <c r="I197" s="7">
        <f t="shared" si="8"/>
        <v>1.059240763</v>
      </c>
      <c r="J197" s="7">
        <f t="shared" si="9"/>
        <v>-0.06774854898</v>
      </c>
    </row>
    <row r="198">
      <c r="A198" s="4">
        <v>45365.0</v>
      </c>
      <c r="B198" s="5">
        <v>22146.65</v>
      </c>
      <c r="C198" s="8">
        <f t="shared" si="1"/>
        <v>0.005582989371</v>
      </c>
      <c r="D198" s="8">
        <f t="shared" si="3"/>
        <v>22379.422</v>
      </c>
      <c r="E198" s="8">
        <f t="shared" si="4"/>
        <v>0</v>
      </c>
      <c r="F198" s="6">
        <f t="shared" si="5"/>
        <v>0</v>
      </c>
      <c r="G198" s="8">
        <f t="shared" si="6"/>
        <v>0.9874787384</v>
      </c>
      <c r="H198" s="8">
        <f t="shared" si="7"/>
        <v>0.8948195646</v>
      </c>
      <c r="I198" s="7">
        <f t="shared" si="8"/>
        <v>1.059240763</v>
      </c>
      <c r="J198" s="7">
        <f t="shared" si="9"/>
        <v>-0.06774854898</v>
      </c>
    </row>
    <row r="199">
      <c r="A199" s="4">
        <v>45364.0</v>
      </c>
      <c r="B199" s="5">
        <v>21997.7</v>
      </c>
      <c r="C199" s="8">
        <f t="shared" si="1"/>
        <v>-0.006748341079</v>
      </c>
      <c r="D199" s="8">
        <f t="shared" si="3"/>
        <v>22365.282</v>
      </c>
      <c r="E199" s="8">
        <f t="shared" si="4"/>
        <v>0</v>
      </c>
      <c r="F199" s="6">
        <f t="shared" si="5"/>
        <v>0</v>
      </c>
      <c r="G199" s="8">
        <f t="shared" si="6"/>
        <v>0.9874787384</v>
      </c>
      <c r="H199" s="8">
        <f t="shared" si="7"/>
        <v>0.8888013463</v>
      </c>
      <c r="I199" s="7">
        <f t="shared" si="8"/>
        <v>1.059240763</v>
      </c>
      <c r="J199" s="7">
        <f t="shared" si="9"/>
        <v>-0.06774854898</v>
      </c>
    </row>
    <row r="200">
      <c r="A200" s="4">
        <v>45363.0</v>
      </c>
      <c r="B200" s="5">
        <v>22335.7</v>
      </c>
      <c r="C200" s="8">
        <f t="shared" si="1"/>
        <v>0.01524839282</v>
      </c>
      <c r="D200" s="8">
        <f t="shared" si="3"/>
        <v>22354.233</v>
      </c>
      <c r="E200" s="8">
        <f t="shared" si="4"/>
        <v>0</v>
      </c>
      <c r="F200" s="6">
        <f t="shared" si="5"/>
        <v>0</v>
      </c>
      <c r="G200" s="8">
        <f t="shared" si="6"/>
        <v>0.9874787384</v>
      </c>
      <c r="H200" s="8">
        <f t="shared" si="7"/>
        <v>0.9024579947</v>
      </c>
      <c r="I200" s="7">
        <f t="shared" si="8"/>
        <v>1.059240763</v>
      </c>
      <c r="J200" s="7">
        <f t="shared" si="9"/>
        <v>-0.06774854898</v>
      </c>
    </row>
    <row r="201">
      <c r="A201" s="4">
        <v>45362.0</v>
      </c>
      <c r="B201" s="5">
        <v>22332.65</v>
      </c>
      <c r="C201" s="8">
        <f t="shared" si="1"/>
        <v>-0.0001365620178</v>
      </c>
      <c r="D201" s="8">
        <f t="shared" si="3"/>
        <v>22342.237</v>
      </c>
      <c r="E201" s="8">
        <f t="shared" si="4"/>
        <v>0</v>
      </c>
      <c r="F201" s="6">
        <f t="shared" si="5"/>
        <v>0</v>
      </c>
      <c r="G201" s="8">
        <f t="shared" si="6"/>
        <v>0.9874787384</v>
      </c>
      <c r="H201" s="8">
        <f t="shared" si="7"/>
        <v>0.9023347616</v>
      </c>
      <c r="I201" s="7">
        <f t="shared" si="8"/>
        <v>1.059240763</v>
      </c>
      <c r="J201" s="7">
        <f t="shared" si="9"/>
        <v>-0.06774854898</v>
      </c>
    </row>
    <row r="202">
      <c r="A202" s="9">
        <v>45358.0</v>
      </c>
      <c r="B202" s="5">
        <v>22493.55</v>
      </c>
      <c r="C202" s="8">
        <f t="shared" si="1"/>
        <v>0.007178868207</v>
      </c>
      <c r="D202" s="8">
        <f t="shared" si="3"/>
        <v>22332.966</v>
      </c>
      <c r="E202" s="8">
        <f t="shared" si="4"/>
        <v>1</v>
      </c>
      <c r="F202" s="6">
        <f t="shared" si="5"/>
        <v>0</v>
      </c>
      <c r="G202" s="8">
        <f t="shared" si="6"/>
        <v>0.9874787384</v>
      </c>
      <c r="H202" s="8">
        <f t="shared" si="7"/>
        <v>0.9088358111</v>
      </c>
      <c r="I202" s="7">
        <f t="shared" si="8"/>
        <v>1.059240763</v>
      </c>
      <c r="J202" s="7">
        <f t="shared" si="9"/>
        <v>-0.06774854898</v>
      </c>
    </row>
    <row r="203">
      <c r="A203" s="9">
        <v>45357.0</v>
      </c>
      <c r="B203" s="5">
        <v>22474.05</v>
      </c>
      <c r="C203" s="8">
        <f t="shared" si="1"/>
        <v>-0.0008672911706</v>
      </c>
      <c r="D203" s="8">
        <f t="shared" si="3"/>
        <v>22323.094</v>
      </c>
      <c r="E203" s="8">
        <f t="shared" si="4"/>
        <v>1</v>
      </c>
      <c r="F203" s="6">
        <f t="shared" si="5"/>
        <v>-0.0008672911706</v>
      </c>
      <c r="G203" s="8">
        <f t="shared" si="6"/>
        <v>0.986622678</v>
      </c>
      <c r="H203" s="8">
        <f t="shared" si="7"/>
        <v>0.9080479276</v>
      </c>
      <c r="I203" s="7">
        <f t="shared" si="8"/>
        <v>1.059240763</v>
      </c>
      <c r="J203" s="7">
        <f t="shared" si="9"/>
        <v>-0.06855673192</v>
      </c>
    </row>
    <row r="204">
      <c r="A204" s="9">
        <v>45356.0</v>
      </c>
      <c r="B204" s="5">
        <v>22356.3</v>
      </c>
      <c r="C204" s="8">
        <f t="shared" si="1"/>
        <v>-0.005253149743</v>
      </c>
      <c r="D204" s="8">
        <f t="shared" si="3"/>
        <v>22318.264</v>
      </c>
      <c r="E204" s="8">
        <f t="shared" si="4"/>
        <v>1</v>
      </c>
      <c r="F204" s="6">
        <f t="shared" si="5"/>
        <v>-0.005253149743</v>
      </c>
      <c r="G204" s="8">
        <f t="shared" si="6"/>
        <v>0.9814533908</v>
      </c>
      <c r="H204" s="8">
        <f t="shared" si="7"/>
        <v>0.903290323</v>
      </c>
      <c r="I204" s="7">
        <f t="shared" si="8"/>
        <v>1.059240763</v>
      </c>
      <c r="J204" s="7">
        <f t="shared" si="9"/>
        <v>-0.0734369135</v>
      </c>
    </row>
    <row r="205">
      <c r="A205" s="9">
        <v>45355.0</v>
      </c>
      <c r="B205" s="5">
        <v>22405.6</v>
      </c>
      <c r="C205" s="8">
        <f t="shared" si="1"/>
        <v>0.002202767082</v>
      </c>
      <c r="D205" s="8">
        <f t="shared" si="3"/>
        <v>22315.795</v>
      </c>
      <c r="E205" s="8">
        <f t="shared" si="4"/>
        <v>1</v>
      </c>
      <c r="F205" s="6">
        <f t="shared" si="5"/>
        <v>0.002202767082</v>
      </c>
      <c r="G205" s="8">
        <f t="shared" si="6"/>
        <v>0.9836176869</v>
      </c>
      <c r="H205" s="8">
        <f t="shared" si="7"/>
        <v>0.9052822542</v>
      </c>
      <c r="I205" s="7">
        <f t="shared" si="8"/>
        <v>1.059240763</v>
      </c>
      <c r="J205" s="7">
        <f t="shared" si="9"/>
        <v>-0.07139366125</v>
      </c>
    </row>
    <row r="206">
      <c r="A206" s="9">
        <v>45352.0</v>
      </c>
      <c r="B206" s="5">
        <v>22338.75</v>
      </c>
      <c r="C206" s="8">
        <f t="shared" si="1"/>
        <v>-0.002988088987</v>
      </c>
      <c r="D206" s="8">
        <f t="shared" si="3"/>
        <v>22312.53</v>
      </c>
      <c r="E206" s="8">
        <f t="shared" si="4"/>
        <v>1</v>
      </c>
      <c r="F206" s="6">
        <f t="shared" si="5"/>
        <v>-0.002988088987</v>
      </c>
      <c r="G206" s="8">
        <f t="shared" si="6"/>
        <v>0.9806829365</v>
      </c>
      <c r="H206" s="8">
        <f t="shared" si="7"/>
        <v>0.9025812278</v>
      </c>
      <c r="I206" s="7">
        <f t="shared" si="8"/>
        <v>1.059240763</v>
      </c>
      <c r="J206" s="7">
        <f t="shared" si="9"/>
        <v>-0.07416427814</v>
      </c>
    </row>
    <row r="207">
      <c r="A207" s="4">
        <v>45351.0</v>
      </c>
      <c r="B207" s="5">
        <v>21982.8</v>
      </c>
      <c r="C207" s="8">
        <f t="shared" si="1"/>
        <v>-0.01606250923</v>
      </c>
      <c r="D207" s="8">
        <f t="shared" si="3"/>
        <v>22302.864</v>
      </c>
      <c r="E207" s="8">
        <f t="shared" si="4"/>
        <v>0</v>
      </c>
      <c r="F207" s="6">
        <f t="shared" si="5"/>
        <v>-0.01606250923</v>
      </c>
      <c r="G207" s="8">
        <f t="shared" si="6"/>
        <v>0.9650565433</v>
      </c>
      <c r="H207" s="8">
        <f t="shared" si="7"/>
        <v>0.8881993224</v>
      </c>
      <c r="I207" s="7">
        <f t="shared" si="8"/>
        <v>1.059240763</v>
      </c>
      <c r="J207" s="7">
        <f t="shared" si="9"/>
        <v>-0.08891672513</v>
      </c>
    </row>
    <row r="208">
      <c r="A208" s="4">
        <v>45350.0</v>
      </c>
      <c r="B208" s="5">
        <v>21951.15</v>
      </c>
      <c r="C208" s="8">
        <f t="shared" si="1"/>
        <v>-0.001440799449</v>
      </c>
      <c r="D208" s="8">
        <f t="shared" si="3"/>
        <v>22293.81</v>
      </c>
      <c r="E208" s="8">
        <f t="shared" si="4"/>
        <v>0</v>
      </c>
      <c r="F208" s="6">
        <f t="shared" si="5"/>
        <v>0</v>
      </c>
      <c r="G208" s="8">
        <f t="shared" si="6"/>
        <v>0.9650565433</v>
      </c>
      <c r="H208" s="8">
        <f t="shared" si="7"/>
        <v>0.8869205268</v>
      </c>
      <c r="I208" s="7">
        <f t="shared" si="8"/>
        <v>1.059240763</v>
      </c>
      <c r="J208" s="7">
        <f t="shared" si="9"/>
        <v>-0.08891672513</v>
      </c>
    </row>
    <row r="209">
      <c r="A209" s="4">
        <v>45349.0</v>
      </c>
      <c r="B209" s="5">
        <v>22198.35</v>
      </c>
      <c r="C209" s="8">
        <f t="shared" si="1"/>
        <v>0.01119843184</v>
      </c>
      <c r="D209" s="8">
        <f t="shared" si="3"/>
        <v>22293.766</v>
      </c>
      <c r="E209" s="8">
        <f t="shared" si="4"/>
        <v>0</v>
      </c>
      <c r="F209" s="6">
        <f t="shared" si="5"/>
        <v>0</v>
      </c>
      <c r="G209" s="8">
        <f t="shared" si="6"/>
        <v>0.9650565433</v>
      </c>
      <c r="H209" s="8">
        <f t="shared" si="7"/>
        <v>0.8969084661</v>
      </c>
      <c r="I209" s="7">
        <f t="shared" si="8"/>
        <v>1.059240763</v>
      </c>
      <c r="J209" s="7">
        <f t="shared" si="9"/>
        <v>-0.08891672513</v>
      </c>
    </row>
    <row r="210">
      <c r="A210" s="4">
        <v>45348.0</v>
      </c>
      <c r="B210" s="5">
        <v>22122.05</v>
      </c>
      <c r="C210" s="8">
        <f t="shared" si="1"/>
        <v>-0.003443113121</v>
      </c>
      <c r="D210" s="8">
        <f t="shared" si="3"/>
        <v>22291.85</v>
      </c>
      <c r="E210" s="8">
        <f t="shared" si="4"/>
        <v>0</v>
      </c>
      <c r="F210" s="6">
        <f t="shared" si="5"/>
        <v>0</v>
      </c>
      <c r="G210" s="8">
        <f t="shared" si="6"/>
        <v>0.9650565433</v>
      </c>
      <c r="H210" s="8">
        <f t="shared" si="7"/>
        <v>0.8938256191</v>
      </c>
      <c r="I210" s="7">
        <f t="shared" si="8"/>
        <v>1.059240763</v>
      </c>
      <c r="J210" s="7">
        <f t="shared" si="9"/>
        <v>-0.08891672513</v>
      </c>
    </row>
    <row r="211">
      <c r="A211" s="4">
        <v>45345.0</v>
      </c>
      <c r="B211" s="5">
        <v>22212.7</v>
      </c>
      <c r="C211" s="8">
        <f t="shared" si="1"/>
        <v>0.004089348708</v>
      </c>
      <c r="D211" s="8">
        <f t="shared" si="3"/>
        <v>22294.023</v>
      </c>
      <c r="E211" s="8">
        <f t="shared" si="4"/>
        <v>0</v>
      </c>
      <c r="F211" s="6">
        <f t="shared" si="5"/>
        <v>0</v>
      </c>
      <c r="G211" s="8">
        <f t="shared" si="6"/>
        <v>0.9650565433</v>
      </c>
      <c r="H211" s="8">
        <f t="shared" si="7"/>
        <v>0.8974882676</v>
      </c>
      <c r="I211" s="7">
        <f t="shared" si="8"/>
        <v>1.059240763</v>
      </c>
      <c r="J211" s="7">
        <f t="shared" si="9"/>
        <v>-0.08891672513</v>
      </c>
    </row>
    <row r="212">
      <c r="A212" s="4">
        <v>45344.0</v>
      </c>
      <c r="B212" s="5">
        <v>22217.45</v>
      </c>
      <c r="C212" s="8">
        <f t="shared" si="1"/>
        <v>0.0002138187703</v>
      </c>
      <c r="D212" s="8">
        <f t="shared" si="3"/>
        <v>22297.268</v>
      </c>
      <c r="E212" s="8">
        <f t="shared" si="4"/>
        <v>0</v>
      </c>
      <c r="F212" s="6">
        <f t="shared" si="5"/>
        <v>0</v>
      </c>
      <c r="G212" s="8">
        <f t="shared" si="6"/>
        <v>0.9650565433</v>
      </c>
      <c r="H212" s="8">
        <f t="shared" si="7"/>
        <v>0.897680188</v>
      </c>
      <c r="I212" s="7">
        <f t="shared" si="8"/>
        <v>1.059240763</v>
      </c>
      <c r="J212" s="7">
        <f t="shared" si="9"/>
        <v>-0.08891672513</v>
      </c>
    </row>
    <row r="213">
      <c r="A213" s="4">
        <v>45343.0</v>
      </c>
      <c r="B213" s="5">
        <v>22055.05</v>
      </c>
      <c r="C213" s="8">
        <f t="shared" si="1"/>
        <v>-0.007336415536</v>
      </c>
      <c r="D213" s="8">
        <f t="shared" si="3"/>
        <v>22299.219</v>
      </c>
      <c r="E213" s="8">
        <f t="shared" si="4"/>
        <v>0</v>
      </c>
      <c r="F213" s="6">
        <f t="shared" si="5"/>
        <v>0</v>
      </c>
      <c r="G213" s="8">
        <f t="shared" si="6"/>
        <v>0.9650565433</v>
      </c>
      <c r="H213" s="8">
        <f t="shared" si="7"/>
        <v>0.891118532</v>
      </c>
      <c r="I213" s="7">
        <f t="shared" si="8"/>
        <v>1.059240763</v>
      </c>
      <c r="J213" s="7">
        <f t="shared" si="9"/>
        <v>-0.08891672513</v>
      </c>
    </row>
    <row r="214">
      <c r="A214" s="4">
        <v>45342.0</v>
      </c>
      <c r="B214" s="5">
        <v>22196.95</v>
      </c>
      <c r="C214" s="8">
        <f t="shared" si="1"/>
        <v>0.006413291438</v>
      </c>
      <c r="D214" s="8">
        <f t="shared" si="3"/>
        <v>22297.108</v>
      </c>
      <c r="E214" s="8">
        <f t="shared" si="4"/>
        <v>0</v>
      </c>
      <c r="F214" s="6">
        <f t="shared" si="5"/>
        <v>0</v>
      </c>
      <c r="G214" s="8">
        <f t="shared" si="6"/>
        <v>0.9650565433</v>
      </c>
      <c r="H214" s="8">
        <f t="shared" si="7"/>
        <v>0.8968519001</v>
      </c>
      <c r="I214" s="7">
        <f t="shared" si="8"/>
        <v>1.059240763</v>
      </c>
      <c r="J214" s="7">
        <f t="shared" si="9"/>
        <v>-0.08891672513</v>
      </c>
    </row>
    <row r="215">
      <c r="A215" s="4">
        <v>45341.0</v>
      </c>
      <c r="B215" s="5">
        <v>22122.25</v>
      </c>
      <c r="C215" s="8">
        <f t="shared" si="1"/>
        <v>-0.003371002669</v>
      </c>
      <c r="D215" s="8">
        <f t="shared" si="3"/>
        <v>22293.503</v>
      </c>
      <c r="E215" s="8">
        <f t="shared" si="4"/>
        <v>0</v>
      </c>
      <c r="F215" s="6">
        <f t="shared" si="5"/>
        <v>0</v>
      </c>
      <c r="G215" s="8">
        <f t="shared" si="6"/>
        <v>0.9650565433</v>
      </c>
      <c r="H215" s="8">
        <f t="shared" si="7"/>
        <v>0.8938337</v>
      </c>
      <c r="I215" s="7">
        <f t="shared" si="8"/>
        <v>1.059240763</v>
      </c>
      <c r="J215" s="7">
        <f t="shared" si="9"/>
        <v>-0.08891672513</v>
      </c>
    </row>
    <row r="216">
      <c r="A216" s="4">
        <v>45338.0</v>
      </c>
      <c r="B216" s="5">
        <v>22040.7</v>
      </c>
      <c r="C216" s="8">
        <f t="shared" si="1"/>
        <v>-0.003693145168</v>
      </c>
      <c r="D216" s="8">
        <f t="shared" si="3"/>
        <v>22285.463</v>
      </c>
      <c r="E216" s="8">
        <f t="shared" si="4"/>
        <v>0</v>
      </c>
      <c r="F216" s="6">
        <f t="shared" si="5"/>
        <v>0</v>
      </c>
      <c r="G216" s="8">
        <f t="shared" si="6"/>
        <v>0.9650565433</v>
      </c>
      <c r="H216" s="8">
        <f t="shared" si="7"/>
        <v>0.8905387305</v>
      </c>
      <c r="I216" s="7">
        <f t="shared" si="8"/>
        <v>1.059240763</v>
      </c>
      <c r="J216" s="7">
        <f t="shared" si="9"/>
        <v>-0.08891672513</v>
      </c>
    </row>
    <row r="217">
      <c r="A217" s="4">
        <v>45337.0</v>
      </c>
      <c r="B217" s="5">
        <v>21910.75</v>
      </c>
      <c r="C217" s="8">
        <f t="shared" si="1"/>
        <v>-0.00591336025</v>
      </c>
      <c r="D217" s="8">
        <f t="shared" si="3"/>
        <v>22274.161</v>
      </c>
      <c r="E217" s="8">
        <f t="shared" si="4"/>
        <v>0</v>
      </c>
      <c r="F217" s="6">
        <f t="shared" si="5"/>
        <v>0</v>
      </c>
      <c r="G217" s="8">
        <f t="shared" si="6"/>
        <v>0.9650565433</v>
      </c>
      <c r="H217" s="8">
        <f t="shared" si="7"/>
        <v>0.8852881937</v>
      </c>
      <c r="I217" s="7">
        <f t="shared" si="8"/>
        <v>1.059240763</v>
      </c>
      <c r="J217" s="7">
        <f t="shared" si="9"/>
        <v>-0.08891672513</v>
      </c>
    </row>
    <row r="218">
      <c r="A218" s="4">
        <v>45336.0</v>
      </c>
      <c r="B218" s="5">
        <v>21840.05</v>
      </c>
      <c r="C218" s="8">
        <f t="shared" si="1"/>
        <v>-0.003231943715</v>
      </c>
      <c r="D218" s="8">
        <f t="shared" si="3"/>
        <v>22257.998</v>
      </c>
      <c r="E218" s="8">
        <f t="shared" si="4"/>
        <v>0</v>
      </c>
      <c r="F218" s="6">
        <f t="shared" si="5"/>
        <v>0</v>
      </c>
      <c r="G218" s="8">
        <f t="shared" si="6"/>
        <v>0.9650565433</v>
      </c>
      <c r="H218" s="8">
        <f t="shared" si="7"/>
        <v>0.8824316107</v>
      </c>
      <c r="I218" s="7">
        <f t="shared" si="8"/>
        <v>1.059240763</v>
      </c>
      <c r="J218" s="7">
        <f t="shared" si="9"/>
        <v>-0.08891672513</v>
      </c>
    </row>
    <row r="219">
      <c r="A219" s="4">
        <v>45335.0</v>
      </c>
      <c r="B219" s="5">
        <v>21743.25</v>
      </c>
      <c r="C219" s="8">
        <f t="shared" si="1"/>
        <v>-0.004442075711</v>
      </c>
      <c r="D219" s="8">
        <f t="shared" si="3"/>
        <v>22240.766</v>
      </c>
      <c r="E219" s="8">
        <f t="shared" si="4"/>
        <v>0</v>
      </c>
      <c r="F219" s="6">
        <f t="shared" si="5"/>
        <v>0</v>
      </c>
      <c r="G219" s="8">
        <f t="shared" si="6"/>
        <v>0.9650565433</v>
      </c>
      <c r="H219" s="8">
        <f t="shared" si="7"/>
        <v>0.8785204759</v>
      </c>
      <c r="I219" s="7">
        <f t="shared" si="8"/>
        <v>1.059240763</v>
      </c>
      <c r="J219" s="7">
        <f t="shared" si="9"/>
        <v>-0.08891672513</v>
      </c>
    </row>
    <row r="220">
      <c r="A220" s="4">
        <v>45334.0</v>
      </c>
      <c r="B220" s="5">
        <v>21616.05</v>
      </c>
      <c r="C220" s="8">
        <f t="shared" si="1"/>
        <v>-0.005867270224</v>
      </c>
      <c r="D220" s="8">
        <f t="shared" si="3"/>
        <v>22220.219</v>
      </c>
      <c r="E220" s="8">
        <f t="shared" si="4"/>
        <v>0</v>
      </c>
      <c r="F220" s="6">
        <f t="shared" si="5"/>
        <v>0</v>
      </c>
      <c r="G220" s="8">
        <f t="shared" si="6"/>
        <v>0.9650565433</v>
      </c>
      <c r="H220" s="8">
        <f t="shared" si="7"/>
        <v>0.8733810508</v>
      </c>
      <c r="I220" s="7">
        <f t="shared" si="8"/>
        <v>1.059240763</v>
      </c>
      <c r="J220" s="7">
        <f t="shared" si="9"/>
        <v>-0.08891672513</v>
      </c>
    </row>
    <row r="221">
      <c r="A221" s="9">
        <v>45331.0</v>
      </c>
      <c r="B221" s="5">
        <v>21782.5</v>
      </c>
      <c r="C221" s="8">
        <f t="shared" si="1"/>
        <v>0.007670800807</v>
      </c>
      <c r="D221" s="8">
        <f t="shared" si="3"/>
        <v>22207.47</v>
      </c>
      <c r="E221" s="8">
        <f t="shared" si="4"/>
        <v>0</v>
      </c>
      <c r="F221" s="6">
        <f t="shared" si="5"/>
        <v>0</v>
      </c>
      <c r="G221" s="8">
        <f t="shared" si="6"/>
        <v>0.9650565433</v>
      </c>
      <c r="H221" s="8">
        <f t="shared" si="7"/>
        <v>0.8801063441</v>
      </c>
      <c r="I221" s="7">
        <f t="shared" si="8"/>
        <v>1.059240763</v>
      </c>
      <c r="J221" s="7">
        <f t="shared" si="9"/>
        <v>-0.08891672513</v>
      </c>
    </row>
    <row r="222">
      <c r="A222" s="9">
        <v>45330.0</v>
      </c>
      <c r="B222" s="5">
        <v>21717.95</v>
      </c>
      <c r="C222" s="8">
        <f t="shared" si="1"/>
        <v>-0.002967787569</v>
      </c>
      <c r="D222" s="8">
        <f t="shared" si="3"/>
        <v>22190.422</v>
      </c>
      <c r="E222" s="8">
        <f t="shared" si="4"/>
        <v>0</v>
      </c>
      <c r="F222" s="6">
        <f t="shared" si="5"/>
        <v>0</v>
      </c>
      <c r="G222" s="8">
        <f t="shared" si="6"/>
        <v>0.9650565433</v>
      </c>
      <c r="H222" s="8">
        <f t="shared" si="7"/>
        <v>0.8774982475</v>
      </c>
      <c r="I222" s="7">
        <f t="shared" si="8"/>
        <v>1.059240763</v>
      </c>
      <c r="J222" s="7">
        <f t="shared" si="9"/>
        <v>-0.08891672513</v>
      </c>
    </row>
    <row r="223">
      <c r="A223" s="9">
        <v>45329.0</v>
      </c>
      <c r="B223" s="5">
        <v>21930.5</v>
      </c>
      <c r="C223" s="8">
        <f t="shared" si="1"/>
        <v>0.009739254433</v>
      </c>
      <c r="D223" s="8">
        <f t="shared" si="3"/>
        <v>22180.984</v>
      </c>
      <c r="E223" s="8">
        <f t="shared" si="4"/>
        <v>0</v>
      </c>
      <c r="F223" s="6">
        <f t="shared" si="5"/>
        <v>0</v>
      </c>
      <c r="G223" s="8">
        <f t="shared" si="6"/>
        <v>0.9650565433</v>
      </c>
      <c r="H223" s="8">
        <f t="shared" si="7"/>
        <v>0.8860861783</v>
      </c>
      <c r="I223" s="7">
        <f t="shared" si="8"/>
        <v>1.059240763</v>
      </c>
      <c r="J223" s="7">
        <f t="shared" si="9"/>
        <v>-0.08891672513</v>
      </c>
    </row>
    <row r="224">
      <c r="A224" s="9">
        <v>45328.0</v>
      </c>
      <c r="B224" s="5">
        <v>21929.4</v>
      </c>
      <c r="C224" s="8">
        <f t="shared" si="1"/>
        <v>-0.0000501597131</v>
      </c>
      <c r="D224" s="8">
        <f t="shared" si="3"/>
        <v>22172.212</v>
      </c>
      <c r="E224" s="8">
        <f t="shared" si="4"/>
        <v>0</v>
      </c>
      <c r="F224" s="6">
        <f t="shared" si="5"/>
        <v>0</v>
      </c>
      <c r="G224" s="8">
        <f t="shared" si="6"/>
        <v>0.9650565433</v>
      </c>
      <c r="H224" s="8">
        <f t="shared" si="7"/>
        <v>0.8860417336</v>
      </c>
      <c r="I224" s="7">
        <f t="shared" si="8"/>
        <v>1.059240763</v>
      </c>
      <c r="J224" s="7">
        <f t="shared" si="9"/>
        <v>-0.08891672513</v>
      </c>
    </row>
    <row r="225">
      <c r="A225" s="9">
        <v>45327.0</v>
      </c>
      <c r="B225" s="5">
        <v>21771.7</v>
      </c>
      <c r="C225" s="8">
        <f t="shared" si="1"/>
        <v>-0.007217240963</v>
      </c>
      <c r="D225" s="8">
        <f t="shared" si="3"/>
        <v>22160.918</v>
      </c>
      <c r="E225" s="8">
        <f t="shared" si="4"/>
        <v>0</v>
      </c>
      <c r="F225" s="6">
        <f t="shared" si="5"/>
        <v>0</v>
      </c>
      <c r="G225" s="8">
        <f t="shared" si="6"/>
        <v>0.9650565433</v>
      </c>
      <c r="H225" s="8">
        <f t="shared" si="7"/>
        <v>0.8796699778</v>
      </c>
      <c r="I225" s="7">
        <f t="shared" si="8"/>
        <v>1.059240763</v>
      </c>
      <c r="J225" s="7">
        <f t="shared" si="9"/>
        <v>-0.08891672513</v>
      </c>
    </row>
    <row r="226">
      <c r="A226" s="9">
        <v>45324.0</v>
      </c>
      <c r="B226" s="5">
        <v>21853.8</v>
      </c>
      <c r="C226" s="8">
        <f t="shared" si="1"/>
        <v>0.003763858153</v>
      </c>
      <c r="D226" s="8">
        <f t="shared" si="3"/>
        <v>22155.054</v>
      </c>
      <c r="E226" s="8">
        <f t="shared" si="4"/>
        <v>0</v>
      </c>
      <c r="F226" s="6">
        <f t="shared" si="5"/>
        <v>0</v>
      </c>
      <c r="G226" s="8">
        <f t="shared" si="6"/>
        <v>0.9650565433</v>
      </c>
      <c r="H226" s="8">
        <f t="shared" si="7"/>
        <v>0.8829871696</v>
      </c>
      <c r="I226" s="7">
        <f t="shared" si="8"/>
        <v>1.059240763</v>
      </c>
      <c r="J226" s="7">
        <f t="shared" si="9"/>
        <v>-0.08891672513</v>
      </c>
    </row>
    <row r="227">
      <c r="A227" s="9">
        <v>45323.0</v>
      </c>
      <c r="B227" s="5">
        <v>21697.45</v>
      </c>
      <c r="C227" s="8">
        <f t="shared" si="1"/>
        <v>-0.007180077343</v>
      </c>
      <c r="D227" s="8">
        <f t="shared" si="3"/>
        <v>22149.086</v>
      </c>
      <c r="E227" s="8">
        <f t="shared" si="4"/>
        <v>0</v>
      </c>
      <c r="F227" s="6">
        <f t="shared" si="5"/>
        <v>0</v>
      </c>
      <c r="G227" s="8">
        <f t="shared" si="6"/>
        <v>0.9650565433</v>
      </c>
      <c r="H227" s="8">
        <f t="shared" si="7"/>
        <v>0.8766699596</v>
      </c>
      <c r="I227" s="7">
        <f t="shared" si="8"/>
        <v>1.059240763</v>
      </c>
      <c r="J227" s="7">
        <f t="shared" si="9"/>
        <v>-0.08891672513</v>
      </c>
    </row>
    <row r="228">
      <c r="A228" s="4">
        <v>45322.0</v>
      </c>
      <c r="B228" s="5">
        <v>21725.7</v>
      </c>
      <c r="C228" s="8">
        <f t="shared" si="1"/>
        <v>0.001301149455</v>
      </c>
      <c r="D228" s="8">
        <f t="shared" si="3"/>
        <v>22140.642</v>
      </c>
      <c r="E228" s="8">
        <f t="shared" si="4"/>
        <v>0</v>
      </c>
      <c r="F228" s="6">
        <f t="shared" si="5"/>
        <v>0</v>
      </c>
      <c r="G228" s="8">
        <f t="shared" si="6"/>
        <v>0.9650565433</v>
      </c>
      <c r="H228" s="8">
        <f t="shared" si="7"/>
        <v>0.8778113807</v>
      </c>
      <c r="I228" s="7">
        <f t="shared" si="8"/>
        <v>1.059240763</v>
      </c>
      <c r="J228" s="7">
        <f t="shared" si="9"/>
        <v>-0.08891672513</v>
      </c>
    </row>
    <row r="229">
      <c r="A229" s="4">
        <v>45321.0</v>
      </c>
      <c r="B229" s="5">
        <v>21522.1</v>
      </c>
      <c r="C229" s="8">
        <f t="shared" si="1"/>
        <v>-0.0094155774</v>
      </c>
      <c r="D229" s="8">
        <f t="shared" si="3"/>
        <v>22125.634</v>
      </c>
      <c r="E229" s="8">
        <f t="shared" si="4"/>
        <v>0</v>
      </c>
      <c r="F229" s="6">
        <f t="shared" si="5"/>
        <v>0</v>
      </c>
      <c r="G229" s="8">
        <f t="shared" si="6"/>
        <v>0.9650565433</v>
      </c>
      <c r="H229" s="8">
        <f t="shared" si="7"/>
        <v>0.8695850682</v>
      </c>
      <c r="I229" s="7">
        <f t="shared" si="8"/>
        <v>1.059240763</v>
      </c>
      <c r="J229" s="7">
        <f t="shared" si="9"/>
        <v>-0.08891672513</v>
      </c>
    </row>
    <row r="230">
      <c r="A230" s="4">
        <v>45320.0</v>
      </c>
      <c r="B230" s="5">
        <v>21737.6</v>
      </c>
      <c r="C230" s="8">
        <f t="shared" si="1"/>
        <v>0.009963165839</v>
      </c>
      <c r="D230" s="8">
        <f t="shared" si="3"/>
        <v>22109.998</v>
      </c>
      <c r="E230" s="8">
        <f t="shared" si="4"/>
        <v>0</v>
      </c>
      <c r="F230" s="6">
        <f t="shared" si="5"/>
        <v>0</v>
      </c>
      <c r="G230" s="8">
        <f t="shared" si="6"/>
        <v>0.9650565433</v>
      </c>
      <c r="H230" s="8">
        <f t="shared" si="7"/>
        <v>0.8782921917</v>
      </c>
      <c r="I230" s="7">
        <f t="shared" si="8"/>
        <v>1.059240763</v>
      </c>
      <c r="J230" s="7">
        <f t="shared" si="9"/>
        <v>-0.08891672513</v>
      </c>
    </row>
    <row r="231">
      <c r="A231" s="4">
        <v>45316.0</v>
      </c>
      <c r="B231" s="5">
        <v>21352.6</v>
      </c>
      <c r="C231" s="8">
        <f t="shared" si="1"/>
        <v>-0.0178699679</v>
      </c>
      <c r="D231" s="8">
        <f t="shared" si="3"/>
        <v>22081.974</v>
      </c>
      <c r="E231" s="8">
        <f t="shared" si="4"/>
        <v>0</v>
      </c>
      <c r="F231" s="6">
        <f t="shared" si="5"/>
        <v>0</v>
      </c>
      <c r="G231" s="8">
        <f t="shared" si="6"/>
        <v>0.9650565433</v>
      </c>
      <c r="H231" s="8">
        <f t="shared" si="7"/>
        <v>0.8627365418</v>
      </c>
      <c r="I231" s="7">
        <f t="shared" si="8"/>
        <v>1.059240763</v>
      </c>
      <c r="J231" s="7">
        <f t="shared" si="9"/>
        <v>-0.08891672513</v>
      </c>
    </row>
    <row r="232">
      <c r="A232" s="4">
        <v>45315.0</v>
      </c>
      <c r="B232" s="5">
        <v>21453.95</v>
      </c>
      <c r="C232" s="8">
        <f t="shared" si="1"/>
        <v>0.004735265485</v>
      </c>
      <c r="D232" s="8">
        <f t="shared" si="3"/>
        <v>22058.198</v>
      </c>
      <c r="E232" s="8">
        <f t="shared" si="4"/>
        <v>0</v>
      </c>
      <c r="F232" s="6">
        <f t="shared" si="5"/>
        <v>0</v>
      </c>
      <c r="G232" s="8">
        <f t="shared" si="6"/>
        <v>0.9650565433</v>
      </c>
      <c r="H232" s="8">
        <f t="shared" si="7"/>
        <v>0.8668315162</v>
      </c>
      <c r="I232" s="7">
        <f t="shared" si="8"/>
        <v>1.059240763</v>
      </c>
      <c r="J232" s="7">
        <f t="shared" si="9"/>
        <v>-0.08891672513</v>
      </c>
    </row>
    <row r="233">
      <c r="A233" s="4">
        <v>45314.0</v>
      </c>
      <c r="B233" s="5">
        <v>21238.8</v>
      </c>
      <c r="C233" s="8">
        <f t="shared" si="1"/>
        <v>-0.01007908</v>
      </c>
      <c r="D233" s="8">
        <f t="shared" si="3"/>
        <v>22029.648</v>
      </c>
      <c r="E233" s="8">
        <f t="shared" si="4"/>
        <v>0</v>
      </c>
      <c r="F233" s="6">
        <f t="shared" si="5"/>
        <v>0</v>
      </c>
      <c r="G233" s="8">
        <f t="shared" si="6"/>
        <v>0.9650565433</v>
      </c>
      <c r="H233" s="8">
        <f t="shared" si="7"/>
        <v>0.8581385342</v>
      </c>
      <c r="I233" s="7">
        <f t="shared" si="8"/>
        <v>1.059240763</v>
      </c>
      <c r="J233" s="7">
        <f t="shared" si="9"/>
        <v>-0.08891672513</v>
      </c>
    </row>
    <row r="234">
      <c r="A234" s="4">
        <v>45311.0</v>
      </c>
      <c r="B234" s="5">
        <v>21571.8</v>
      </c>
      <c r="C234" s="8">
        <f t="shared" si="1"/>
        <v>0.01555720855</v>
      </c>
      <c r="D234" s="8">
        <f t="shared" si="3"/>
        <v>22010.81</v>
      </c>
      <c r="E234" s="8">
        <f t="shared" si="4"/>
        <v>0</v>
      </c>
      <c r="F234" s="6">
        <f t="shared" si="5"/>
        <v>0</v>
      </c>
      <c r="G234" s="8">
        <f t="shared" si="6"/>
        <v>0.9650565433</v>
      </c>
      <c r="H234" s="8">
        <f t="shared" si="7"/>
        <v>0.8715931612</v>
      </c>
      <c r="I234" s="7">
        <f t="shared" si="8"/>
        <v>1.059240763</v>
      </c>
      <c r="J234" s="7">
        <f t="shared" si="9"/>
        <v>-0.08891672513</v>
      </c>
    </row>
    <row r="235">
      <c r="A235" s="4">
        <v>45310.0</v>
      </c>
      <c r="B235" s="5">
        <v>21622.4</v>
      </c>
      <c r="C235" s="8">
        <f t="shared" si="1"/>
        <v>0.002342908221</v>
      </c>
      <c r="D235" s="8">
        <f t="shared" si="3"/>
        <v>21992.965</v>
      </c>
      <c r="E235" s="8">
        <f t="shared" si="4"/>
        <v>0</v>
      </c>
      <c r="F235" s="6">
        <f t="shared" si="5"/>
        <v>0</v>
      </c>
      <c r="G235" s="8">
        <f t="shared" si="6"/>
        <v>0.9650565433</v>
      </c>
      <c r="H235" s="8">
        <f t="shared" si="7"/>
        <v>0.873637618</v>
      </c>
      <c r="I235" s="7">
        <f t="shared" si="8"/>
        <v>1.059240763</v>
      </c>
      <c r="J235" s="7">
        <f t="shared" si="9"/>
        <v>-0.08891672513</v>
      </c>
    </row>
    <row r="236">
      <c r="A236" s="4">
        <v>45309.0</v>
      </c>
      <c r="B236" s="5">
        <v>21462.25</v>
      </c>
      <c r="C236" s="8">
        <f t="shared" si="1"/>
        <v>-0.007434236444</v>
      </c>
      <c r="D236" s="8">
        <f t="shared" si="3"/>
        <v>21973.517</v>
      </c>
      <c r="E236" s="8">
        <f t="shared" si="4"/>
        <v>0</v>
      </c>
      <c r="F236" s="6">
        <f t="shared" si="5"/>
        <v>0</v>
      </c>
      <c r="G236" s="8">
        <f t="shared" si="6"/>
        <v>0.9650565433</v>
      </c>
      <c r="H236" s="8">
        <f t="shared" si="7"/>
        <v>0.8671668717</v>
      </c>
      <c r="I236" s="7">
        <f t="shared" si="8"/>
        <v>1.059240763</v>
      </c>
      <c r="J236" s="7">
        <f t="shared" si="9"/>
        <v>-0.08891672513</v>
      </c>
    </row>
    <row r="237">
      <c r="A237" s="4">
        <v>45308.0</v>
      </c>
      <c r="B237" s="5">
        <v>21571.95</v>
      </c>
      <c r="C237" s="8">
        <f t="shared" si="1"/>
        <v>0.005098281721</v>
      </c>
      <c r="D237" s="8">
        <f t="shared" si="3"/>
        <v>21955.89</v>
      </c>
      <c r="E237" s="8">
        <f t="shared" si="4"/>
        <v>0</v>
      </c>
      <c r="F237" s="6">
        <f t="shared" si="5"/>
        <v>0</v>
      </c>
      <c r="G237" s="8">
        <f t="shared" si="6"/>
        <v>0.9650565433</v>
      </c>
      <c r="H237" s="8">
        <f t="shared" si="7"/>
        <v>0.8715992218</v>
      </c>
      <c r="I237" s="7">
        <f t="shared" si="8"/>
        <v>1.059240763</v>
      </c>
      <c r="J237" s="7">
        <f t="shared" si="9"/>
        <v>-0.08891672513</v>
      </c>
    </row>
    <row r="238">
      <c r="A238" s="4">
        <v>45307.0</v>
      </c>
      <c r="B238" s="5">
        <v>22032.3</v>
      </c>
      <c r="C238" s="8">
        <f t="shared" si="1"/>
        <v>0.0211156988</v>
      </c>
      <c r="D238" s="8">
        <f t="shared" si="3"/>
        <v>21947.296</v>
      </c>
      <c r="E238" s="8">
        <f t="shared" si="4"/>
        <v>1</v>
      </c>
      <c r="F238" s="6">
        <f t="shared" si="5"/>
        <v>0</v>
      </c>
      <c r="G238" s="8">
        <f t="shared" si="6"/>
        <v>0.9650565433</v>
      </c>
      <c r="H238" s="8">
        <f t="shared" si="7"/>
        <v>0.8901993345</v>
      </c>
      <c r="I238" s="7">
        <f t="shared" si="8"/>
        <v>1.059240763</v>
      </c>
      <c r="J238" s="7">
        <f t="shared" si="9"/>
        <v>-0.08891672513</v>
      </c>
    </row>
    <row r="239">
      <c r="A239" s="4">
        <v>45306.0</v>
      </c>
      <c r="B239" s="5">
        <v>22097.45</v>
      </c>
      <c r="C239" s="8">
        <f t="shared" si="1"/>
        <v>0.0029526588</v>
      </c>
      <c r="D239" s="8">
        <f t="shared" si="3"/>
        <v>21942.707</v>
      </c>
      <c r="E239" s="8">
        <f t="shared" si="4"/>
        <v>1</v>
      </c>
      <c r="F239" s="6">
        <f t="shared" si="5"/>
        <v>0.0029526588</v>
      </c>
      <c r="G239" s="8">
        <f t="shared" si="6"/>
        <v>0.9679102369</v>
      </c>
      <c r="H239" s="8">
        <f t="shared" si="7"/>
        <v>0.8928316737</v>
      </c>
      <c r="I239" s="7">
        <f t="shared" si="8"/>
        <v>1.059240763</v>
      </c>
      <c r="J239" s="7">
        <f t="shared" si="9"/>
        <v>-0.08622263167</v>
      </c>
    </row>
    <row r="240">
      <c r="A240" s="4">
        <v>45303.0</v>
      </c>
      <c r="B240" s="5">
        <v>21894.55</v>
      </c>
      <c r="C240" s="8">
        <f t="shared" si="1"/>
        <v>-0.009224469846</v>
      </c>
      <c r="D240" s="8">
        <f t="shared" si="3"/>
        <v>21938.125</v>
      </c>
      <c r="E240" s="8">
        <f t="shared" si="4"/>
        <v>0</v>
      </c>
      <c r="F240" s="6">
        <f t="shared" si="5"/>
        <v>-0.009224469846</v>
      </c>
      <c r="G240" s="8">
        <f t="shared" si="6"/>
        <v>0.9590228319</v>
      </c>
      <c r="H240" s="8">
        <f t="shared" si="7"/>
        <v>0.8846336442</v>
      </c>
      <c r="I240" s="7">
        <f t="shared" si="8"/>
        <v>1.059240763</v>
      </c>
      <c r="J240" s="7">
        <f t="shared" si="9"/>
        <v>-0.09461298567</v>
      </c>
    </row>
    <row r="241">
      <c r="A241" s="4">
        <v>45302.0</v>
      </c>
      <c r="B241" s="5">
        <v>21647.2</v>
      </c>
      <c r="C241" s="8">
        <f t="shared" si="1"/>
        <v>-0.01136163157</v>
      </c>
      <c r="D241" s="8">
        <f t="shared" si="3"/>
        <v>21930.975</v>
      </c>
      <c r="E241" s="8">
        <f t="shared" si="4"/>
        <v>0</v>
      </c>
      <c r="F241" s="6">
        <f t="shared" si="5"/>
        <v>0</v>
      </c>
      <c r="G241" s="8">
        <f t="shared" si="6"/>
        <v>0.9590228319</v>
      </c>
      <c r="H241" s="8">
        <f t="shared" si="7"/>
        <v>0.8746396443</v>
      </c>
      <c r="I241" s="7">
        <f t="shared" si="8"/>
        <v>1.059240763</v>
      </c>
      <c r="J241" s="7">
        <f t="shared" si="9"/>
        <v>-0.09461298567</v>
      </c>
    </row>
    <row r="242">
      <c r="A242" s="4">
        <v>45301.0</v>
      </c>
      <c r="B242" s="5">
        <v>21618.7</v>
      </c>
      <c r="C242" s="8">
        <f t="shared" si="1"/>
        <v>-0.001317434937</v>
      </c>
      <c r="D242" s="8">
        <f t="shared" si="3"/>
        <v>21921.414</v>
      </c>
      <c r="E242" s="8">
        <f t="shared" si="4"/>
        <v>0</v>
      </c>
      <c r="F242" s="6">
        <f t="shared" si="5"/>
        <v>0</v>
      </c>
      <c r="G242" s="8">
        <f t="shared" si="6"/>
        <v>0.9590228319</v>
      </c>
      <c r="H242" s="8">
        <f t="shared" si="7"/>
        <v>0.8734881222</v>
      </c>
      <c r="I242" s="7">
        <f t="shared" si="8"/>
        <v>1.059240763</v>
      </c>
      <c r="J242" s="7">
        <f t="shared" si="9"/>
        <v>-0.09461298567</v>
      </c>
    </row>
    <row r="243">
      <c r="A243" s="9">
        <v>45300.0</v>
      </c>
      <c r="B243" s="5">
        <v>21544.85</v>
      </c>
      <c r="C243" s="8">
        <f t="shared" si="1"/>
        <v>-0.003421872022</v>
      </c>
      <c r="D243" s="8">
        <f t="shared" si="3"/>
        <v>21912.072</v>
      </c>
      <c r="E243" s="8">
        <f t="shared" si="4"/>
        <v>0</v>
      </c>
      <c r="F243" s="6">
        <f t="shared" si="5"/>
        <v>0</v>
      </c>
      <c r="G243" s="8">
        <f t="shared" si="6"/>
        <v>0.9590228319</v>
      </c>
      <c r="H243" s="8">
        <f t="shared" si="7"/>
        <v>0.8705042657</v>
      </c>
      <c r="I243" s="7">
        <f t="shared" si="8"/>
        <v>1.059240763</v>
      </c>
      <c r="J243" s="7">
        <f t="shared" si="9"/>
        <v>-0.09461298567</v>
      </c>
    </row>
    <row r="244">
      <c r="A244" s="9">
        <v>45299.0</v>
      </c>
      <c r="B244" s="5">
        <v>21513.0</v>
      </c>
      <c r="C244" s="8">
        <f t="shared" si="1"/>
        <v>-0.001479405303</v>
      </c>
      <c r="D244" s="8">
        <f t="shared" si="3"/>
        <v>21905.55</v>
      </c>
      <c r="E244" s="8">
        <f t="shared" si="4"/>
        <v>0</v>
      </c>
      <c r="F244" s="6">
        <f t="shared" si="5"/>
        <v>0</v>
      </c>
      <c r="G244" s="8">
        <f t="shared" si="6"/>
        <v>0.9590228319</v>
      </c>
      <c r="H244" s="8">
        <f t="shared" si="7"/>
        <v>0.8692173892</v>
      </c>
      <c r="I244" s="7">
        <f t="shared" si="8"/>
        <v>1.059240763</v>
      </c>
      <c r="J244" s="7">
        <f t="shared" si="9"/>
        <v>-0.09461298567</v>
      </c>
    </row>
    <row r="245">
      <c r="A245" s="9">
        <v>45296.0</v>
      </c>
      <c r="B245" s="5">
        <v>21710.8</v>
      </c>
      <c r="C245" s="8">
        <f t="shared" si="1"/>
        <v>0.009152429021</v>
      </c>
      <c r="D245" s="8">
        <f t="shared" si="3"/>
        <v>21903.417</v>
      </c>
      <c r="E245" s="8">
        <f t="shared" si="4"/>
        <v>0</v>
      </c>
      <c r="F245" s="6">
        <f t="shared" si="5"/>
        <v>0</v>
      </c>
      <c r="G245" s="8">
        <f t="shared" si="6"/>
        <v>0.9590228319</v>
      </c>
      <c r="H245" s="8">
        <f t="shared" si="7"/>
        <v>0.8772093568</v>
      </c>
      <c r="I245" s="7">
        <f t="shared" si="8"/>
        <v>1.059240763</v>
      </c>
      <c r="J245" s="7">
        <f t="shared" si="9"/>
        <v>-0.09461298567</v>
      </c>
    </row>
    <row r="246">
      <c r="A246" s="9">
        <v>45295.0</v>
      </c>
      <c r="B246" s="5">
        <v>21658.6</v>
      </c>
      <c r="C246" s="8">
        <f t="shared" si="1"/>
        <v>-0.002407228378</v>
      </c>
      <c r="D246" s="8">
        <f t="shared" si="3"/>
        <v>21895.475</v>
      </c>
      <c r="E246" s="8">
        <f t="shared" si="4"/>
        <v>0</v>
      </c>
      <c r="F246" s="6">
        <f t="shared" si="5"/>
        <v>0</v>
      </c>
      <c r="G246" s="8">
        <f t="shared" si="6"/>
        <v>0.9590228319</v>
      </c>
      <c r="H246" s="8">
        <f t="shared" si="7"/>
        <v>0.8751002531</v>
      </c>
      <c r="I246" s="7">
        <f t="shared" si="8"/>
        <v>1.059240763</v>
      </c>
      <c r="J246" s="7">
        <f t="shared" si="9"/>
        <v>-0.09461298567</v>
      </c>
    </row>
    <row r="247">
      <c r="A247" s="9">
        <v>45294.0</v>
      </c>
      <c r="B247" s="5">
        <v>21517.35</v>
      </c>
      <c r="C247" s="8">
        <f t="shared" si="1"/>
        <v>-0.006543017764</v>
      </c>
      <c r="D247" s="8">
        <f t="shared" si="3"/>
        <v>21885.355</v>
      </c>
      <c r="E247" s="8">
        <f t="shared" si="4"/>
        <v>0</v>
      </c>
      <c r="F247" s="6">
        <f t="shared" si="5"/>
        <v>0</v>
      </c>
      <c r="G247" s="8">
        <f t="shared" si="6"/>
        <v>0.9590228319</v>
      </c>
      <c r="H247" s="8">
        <f t="shared" si="7"/>
        <v>0.8693931478</v>
      </c>
      <c r="I247" s="7">
        <f t="shared" si="8"/>
        <v>1.059240763</v>
      </c>
      <c r="J247" s="7">
        <f t="shared" si="9"/>
        <v>-0.09461298567</v>
      </c>
    </row>
    <row r="248">
      <c r="A248" s="9">
        <v>45293.0</v>
      </c>
      <c r="B248" s="5">
        <v>21665.8</v>
      </c>
      <c r="C248" s="8">
        <f t="shared" si="1"/>
        <v>0.00687539398</v>
      </c>
      <c r="D248" s="8">
        <f t="shared" si="3"/>
        <v>21875.738</v>
      </c>
      <c r="E248" s="8">
        <f t="shared" si="4"/>
        <v>0</v>
      </c>
      <c r="F248" s="6">
        <f t="shared" si="5"/>
        <v>0</v>
      </c>
      <c r="G248" s="8">
        <f t="shared" si="6"/>
        <v>0.9590228319</v>
      </c>
      <c r="H248" s="8">
        <f t="shared" si="7"/>
        <v>0.875391164</v>
      </c>
      <c r="I248" s="7">
        <f t="shared" si="8"/>
        <v>1.059240763</v>
      </c>
      <c r="J248" s="7">
        <f t="shared" si="9"/>
        <v>-0.09461298567</v>
      </c>
    </row>
    <row r="249">
      <c r="A249" s="12">
        <v>45292.0</v>
      </c>
      <c r="B249" s="13">
        <v>21741.9</v>
      </c>
      <c r="C249" s="7">
        <f t="shared" si="1"/>
        <v>0.003506293951</v>
      </c>
      <c r="D249" s="7">
        <f t="shared" si="3"/>
        <v>21870.622</v>
      </c>
      <c r="E249" s="7">
        <f t="shared" si="4"/>
        <v>0</v>
      </c>
      <c r="F249" s="14">
        <f t="shared" si="5"/>
        <v>0</v>
      </c>
      <c r="G249" s="7">
        <f t="shared" si="6"/>
        <v>0.9590228319</v>
      </c>
      <c r="H249" s="7">
        <f t="shared" si="7"/>
        <v>0.8784659301</v>
      </c>
      <c r="I249" s="7">
        <f t="shared" si="8"/>
        <v>1.059240763</v>
      </c>
      <c r="J249" s="7">
        <f t="shared" si="9"/>
        <v>-0.09461298567</v>
      </c>
    </row>
    <row r="250">
      <c r="J250" s="15" t="s">
        <v>11</v>
      </c>
      <c r="K250" s="7">
        <f>MIN(J:J)</f>
        <v>-0.09461298567</v>
      </c>
    </row>
  </sheetData>
  <drawing r:id="rId1"/>
</worksheet>
</file>